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Área de Trabalho\"/>
    </mc:Choice>
  </mc:AlternateContent>
  <xr:revisionPtr revIDLastSave="0" documentId="13_ncr:1_{2CD17416-934A-4302-BA66-7A59467535C0}" xr6:coauthVersionLast="47" xr6:coauthVersionMax="47" xr10:uidLastSave="{00000000-0000-0000-0000-000000000000}"/>
  <bookViews>
    <workbookView xWindow="-120" yWindow="-120" windowWidth="51840" windowHeight="212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externalReferences>
    <externalReference r:id="rId5"/>
  </externalReferences>
  <definedNames>
    <definedName name="SegmentaçãodeDados_Subscription_Type">#N/A</definedName>
  </definedNames>
  <calcPr calcId="191029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3" l="1"/>
  <c r="D27" i="3"/>
  <c r="D26" i="3"/>
</calcChain>
</file>

<file path=xl/sharedStrings.xml><?xml version="1.0" encoding="utf-8"?>
<sst xmlns="http://schemas.openxmlformats.org/spreadsheetml/2006/main" count="2019" uniqueCount="323">
  <si>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</si>
  <si>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</si>
  <si>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</si>
  <si>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</si>
  <si>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</si>
  <si>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</si>
  <si>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</si>
  <si>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</si>
  <si>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</si>
  <si>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</si>
  <si>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</si>
  <si>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</si>
  <si>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</si>
  <si>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</si>
  <si>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</si>
  <si>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</si>
  <si>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</si>
  <si>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</si>
  <si>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</si>
  <si>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</si>
  <si>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</si>
  <si>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</si>
  <si>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</si>
  <si>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</si>
  <si>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</si>
  <si>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</si>
  <si>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</si>
  <si>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</si>
  <si>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</si>
  <si>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</si>
  <si>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</si>
  <si>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</si>
  <si>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</si>
  <si>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</si>
  <si>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</si>
  <si>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</si>
  <si>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</si>
  <si>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</si>
  <si>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</si>
  <si>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</si>
  <si>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</si>
  <si>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</si>
  <si>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</si>
  <si>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</si>
  <si>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</si>
  <si>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</si>
  <si>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</si>
  <si>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</si>
  <si>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</si>
  <si>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</si>
  <si>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</si>
  <si>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</si>
  <si>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</si>
  <si>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</si>
  <si>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</si>
  <si>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</si>
  <si>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</si>
  <si>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</si>
  <si>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</si>
  <si>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</si>
  <si>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</si>
  <si>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</si>
  <si>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</si>
  <si>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</si>
  <si>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</si>
  <si>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</si>
  <si>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</si>
  <si>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</si>
  <si>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</si>
  <si>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</si>
  <si>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</si>
  <si>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</si>
  <si>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</si>
  <si>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</si>
  <si>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</si>
  <si>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</si>
  <si>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</si>
  <si>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</si>
  <si>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</si>
  <si>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</si>
  <si>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</si>
  <si>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</si>
  <si>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</si>
  <si>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</si>
  <si>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</si>
  <si>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</si>
  <si>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</si>
  <si>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</si>
  <si>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</si>
  <si>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</si>
  <si>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</si>
  <si>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</si>
  <si>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</si>
  <si>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</si>
  <si>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</si>
  <si>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</si>
  <si>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</si>
  <si>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</si>
  <si>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</si>
  <si>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</si>
  <si>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</si>
  <si>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</si>
  <si>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</si>
  <si>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</si>
  <si>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</si>
  <si>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</si>
  <si>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</si>
  <si>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</si>
  <si>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</si>
  <si>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</si>
  <si>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</si>
  <si>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</si>
  <si>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</si>
  <si>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</si>
  <si>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</si>
  <si>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</si>
  <si>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</si>
  <si>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</si>
  <si>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</si>
  <si>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</si>
  <si>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</si>
  <si>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</si>
  <si>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</si>
  <si>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</si>
  <si>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</si>
  <si>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</si>
  <si>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</si>
  <si>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</si>
  <si>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</si>
  <si>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</si>
  <si>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</si>
  <si>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</si>
  <si>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</si>
  <si>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</si>
  <si>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</si>
  <si>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</si>
  <si>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</si>
  <si>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</si>
  <si>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</si>
  <si>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</si>
  <si>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</si>
  <si>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</si>
  <si>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</si>
  <si>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</si>
  <si>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</si>
  <si>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</si>
  <si>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</si>
  <si>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</si>
  <si>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</si>
  <si>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</si>
  <si>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</si>
  <si>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</si>
  <si>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</si>
  <si>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</si>
  <si>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</si>
  <si>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</si>
  <si>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</si>
  <si>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</si>
  <si>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</si>
  <si>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</si>
  <si>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</si>
  <si>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</si>
  <si>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</si>
  <si>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</si>
  <si>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</si>
  <si>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</si>
  <si>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</si>
  <si>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</si>
  <si>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</si>
  <si>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</si>
  <si>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</si>
  <si>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</si>
  <si>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</si>
  <si>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</si>
  <si>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</si>
  <si>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</si>
  <si>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</si>
  <si>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</si>
  <si>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</si>
  <si>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</si>
  <si>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</si>
  <si>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</si>
  <si>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</si>
  <si>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</si>
  <si>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</si>
  <si>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</si>
  <si>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</si>
  <si>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</si>
  <si>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</si>
  <si>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</si>
  <si>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</si>
  <si>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</si>
  <si>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</si>
  <si>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</si>
  <si>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</si>
  <si>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</si>
  <si>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</si>
  <si>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</si>
  <si>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</si>
  <si>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</si>
  <si>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</si>
  <si>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</si>
  <si>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</si>
  <si>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</si>
  <si>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</si>
  <si>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</si>
  <si>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</si>
  <si>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</si>
  <si>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</si>
  <si>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</si>
  <si>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</si>
  <si>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</si>
  <si>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</si>
  <si>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</si>
  <si>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</si>
  <si>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</si>
  <si>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</si>
  <si>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</si>
  <si>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</si>
  <si>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</si>
  <si>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</si>
  <si>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</si>
  <si>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</si>
  <si>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</si>
  <si>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</si>
  <si>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</si>
  <si>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</si>
  <si>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</si>
  <si>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</si>
  <si>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</si>
  <si>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</si>
  <si>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</si>
  <si>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</si>
  <si>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</si>
  <si>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</si>
  <si>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</si>
  <si>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</si>
  <si>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</si>
  <si>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</si>
  <si>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</si>
  <si>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</si>
  <si>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</si>
  <si>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</si>
  <si>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</si>
  <si>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</si>
  <si>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</si>
  <si>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</si>
  <si>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</si>
  <si>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</si>
  <si>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</si>
  <si>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</si>
  <si>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</si>
  <si>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</si>
  <si>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</si>
  <si>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</si>
  <si>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</si>
  <si>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</si>
  <si>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</si>
  <si>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</si>
  <si>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</si>
  <si>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</si>
  <si>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</si>
  <si>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</si>
  <si>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</si>
  <si>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</si>
  <si>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</si>
  <si>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</si>
  <si>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</si>
  <si>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</si>
  <si>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</si>
  <si>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</si>
  <si>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</si>
  <si>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</si>
  <si>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</si>
  <si>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</si>
  <si>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</si>
  <si>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</si>
  <si>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</si>
  <si>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</si>
  <si>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</si>
  <si>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</si>
  <si>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</si>
  <si>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</si>
  <si>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</si>
  <si>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</si>
  <si>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</si>
  <si>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</si>
  <si>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</si>
  <si>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</si>
  <si>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</si>
  <si>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</si>
  <si>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</si>
  <si>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</si>
  <si>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</si>
  <si>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</si>
  <si>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</si>
  <si>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</si>
  <si>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</si>
  <si>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</si>
  <si>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</si>
  <si>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</si>
  <si>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</si>
  <si>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</si>
  <si>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</si>
  <si>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</si>
  <si>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</si>
  <si>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</si>
  <si>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</si>
  <si>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</si>
  <si>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</si>
  <si>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</si>
  <si>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</si>
  <si>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</si>
  <si>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</si>
  <si>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</si>
  <si>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</si>
  <si>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</si>
  <si>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Soma de Total Value</t>
  </si>
  <si>
    <t xml:space="preserve"> XBOX GAME PASS SUBSCRIPTIONS SALES</t>
  </si>
  <si>
    <t>Contagem de Subscription Type</t>
  </si>
  <si>
    <t>Qual é a receita total gerada por tipo de assinatura por mês e ano?</t>
  </si>
  <si>
    <t>Qual é a taxa de renovação automática entre os assinantes por período?</t>
  </si>
  <si>
    <t>Quantos assinantes adquiriram passes adicionais Minecraft e qual o impacto financeiro disso?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</si>
</sst>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9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8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 style="thick">
        <color rgb="FF22C55E"/>
      </right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8" borderId="0" xfId="3" applyAlignment="1">
      <alignment horizontal="center"/>
    </xf>
    <xf numFmtId="9" fontId="0" fillId="0" borderId="0" xfId="4" applyFont="1"/>
    <xf numFmtId="0" fontId="3" fillId="0" borderId="0" xfId="0" applyFont="1"/>
    <xf numFmtId="0" fontId="6" fillId="4" borderId="2" xfId="1" applyFont="1" applyFill="1" applyBorder="1" applyAlignment="1">
      <alignment horizontal="left" indent="7"/>
    </xf>
    <xf numFmtId="0" fontId="5" fillId="4" borderId="2" xfId="1" applyFont="1" applyFill="1" applyBorder="1"/>
    <xf numFmtId="0" fontId="0" fillId="4" borderId="2" xfId="0" applyFill="1" applyBorder="1"/>
    <xf numFmtId="0" fontId="0" fillId="9" borderId="0" xfId="0" applyFill="1"/>
    <xf numFmtId="0" fontId="6" fillId="0" borderId="0" xfId="1" applyFont="1" applyBorder="1" applyAlignment="1">
      <alignment horizontal="center" vertical="center" textRotation="90"/>
    </xf>
    <xf numFmtId="0" fontId="0" fillId="9" borderId="0" xfId="0" applyFill="1" applyBorder="1"/>
    <xf numFmtId="0" fontId="7" fillId="0" borderId="3" xfId="1" applyFont="1" applyBorder="1" applyAlignment="1">
      <alignment horizontal="center" vertical="center" textRotation="90"/>
    </xf>
    <xf numFmtId="169" fontId="0" fillId="0" borderId="0" xfId="0" applyNumberFormat="1"/>
  </cellXfs>
  <cellStyles count="5">
    <cellStyle name="Moeda" xfId="2" builtinId="4"/>
    <cellStyle name="Neutro" xfId="3" builtinId="28"/>
    <cellStyle name="Normal" xfId="0" builtinId="0"/>
    <cellStyle name="Porcentagem" xfId="4" builtinId="5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9BC848"/>
      <color rgb="FF5BF6A8"/>
      <color rgb="FFE8E6E9"/>
      <color rgb="FF2AE6B1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[dashboard_vendas.xlsx]C̳álculos!Tabela dinâmica9</c:name>
    <c:fmtId val="8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2C55E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2C55E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EE5-412C-B493-71CFFD5AE36E}"/>
                </c:ext>
              </c:extLst>
            </c:dLbl>
            <c:dLbl>
              <c:idx val="1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EE5-412C-B493-71CFFD5AE36E}"/>
                </c:ext>
              </c:extLst>
            </c:dLbl>
            <c:dLbl>
              <c:idx val="2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E5-412C-B493-71CFFD5AE36E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C̳álculos!$C$12:$C$15</c:f>
              <c:numCache>
                <c:formatCode>General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E5-412C-B493-71CFFD5AE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380352447"/>
        <c:axId val="1380354527"/>
      </c:barChart>
      <c:catAx>
        <c:axId val="138035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380354527"/>
        <c:crosses val="autoZero"/>
        <c:auto val="1"/>
        <c:lblAlgn val="ctr"/>
        <c:lblOffset val="100"/>
        <c:noMultiLvlLbl val="0"/>
      </c:catAx>
      <c:valAx>
        <c:axId val="1380354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03524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[dashboard_vendas.xlsx]C̳álculos!Tabela dinâmica3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rgbClr val="22C55E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rgbClr val="22C55E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4.6076317987240982E-2"/>
          <c:y val="0.1312357767456955"/>
          <c:w val="0.91162063130462911"/>
          <c:h val="0.6646518268488496"/>
        </c:manualLayout>
      </c:layout>
      <c:doughnutChart>
        <c:varyColors val="1"/>
        <c:ser>
          <c:idx val="0"/>
          <c:order val="0"/>
          <c:tx>
            <c:strRef>
              <c:f>C̳álculos!$C$25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dPt>
            <c:idx val="0"/>
            <c:bubble3D val="0"/>
            <c:spPr>
              <a:solidFill>
                <a:srgbClr val="9BC848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DE-449B-8848-EDDCE747BAFE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DE-449B-8848-EDDCE747BA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C̳álculos!$B$26:$B$28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C̳álculos!$C$26:$C$28</c:f>
              <c:numCache>
                <c:formatCode>General</c:formatCode>
                <c:ptCount val="2"/>
                <c:pt idx="0">
                  <c:v>11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DE-449B-8848-EDDCE747BAF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54355687119853"/>
          <c:y val="2.1113498002826737E-2"/>
          <c:w val="0.12655491580877695"/>
          <c:h val="0.11159406366694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123825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304800</xdr:colOff>
      <xdr:row>5</xdr:row>
      <xdr:rowOff>123825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558205</xdr:colOff>
      <xdr:row>6</xdr:row>
      <xdr:rowOff>97102</xdr:rowOff>
    </xdr:from>
    <xdr:to>
      <xdr:col>10</xdr:col>
      <xdr:colOff>513389</xdr:colOff>
      <xdr:row>13</xdr:row>
      <xdr:rowOff>49436</xdr:rowOff>
    </xdr:to>
    <xdr:sp macro="" textlink="C̳álculos!#REF!">
      <xdr:nvSpPr>
        <xdr:cNvPr id="16" name="Retângulo: Cantos Arredondados 15">
          <a:extLst>
            <a:ext uri="{FF2B5EF4-FFF2-40B4-BE49-F238E27FC236}">
              <a16:creationId xmlns:a16="http://schemas.microsoft.com/office/drawing/2014/main" id="{61552D02-77C9-4CE7-8E23-3B04A00EEA4C}"/>
            </a:ext>
          </a:extLst>
        </xdr:cNvPr>
        <xdr:cNvSpPr/>
      </xdr:nvSpPr>
      <xdr:spPr>
        <a:xfrm>
          <a:off x="3634780" y="1725877"/>
          <a:ext cx="3384184" cy="914359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013F77A-435A-4ABA-88A6-D9C44614F925}" type="TxLink">
            <a:rPr lang="en-US" sz="3600" b="0" i="0" u="none" strike="noStrike" kern="1200">
              <a:solidFill>
                <a:srgbClr val="22C55E"/>
              </a:solidFill>
              <a:latin typeface="Aptos Narrow"/>
            </a:rPr>
            <a:pPr algn="ctr"/>
            <a:t> </a:t>
          </a:fld>
          <a:endParaRPr lang="pt-BR" sz="3600" kern="1200">
            <a:solidFill>
              <a:srgbClr val="22C55E"/>
            </a:solidFill>
          </a:endParaRPr>
        </a:p>
      </xdr:txBody>
    </xdr:sp>
    <xdr:clientData/>
  </xdr:twoCellAnchor>
  <xdr:twoCellAnchor editAs="absolute">
    <xdr:from>
      <xdr:col>7</xdr:col>
      <xdr:colOff>14406</xdr:colOff>
      <xdr:row>48</xdr:row>
      <xdr:rowOff>142555</xdr:rowOff>
    </xdr:from>
    <xdr:to>
      <xdr:col>14</xdr:col>
      <xdr:colOff>561975</xdr:colOff>
      <xdr:row>50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4462581" y="9077005"/>
          <a:ext cx="51671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01/10/2025 - 31/10/2025 | Update date: 18/10/2025 02:00:00</a:t>
          </a:r>
        </a:p>
      </xdr:txBody>
    </xdr:sp>
    <xdr:clientData/>
  </xdr:twoCellAnchor>
  <xdr:twoCellAnchor editAs="oneCell">
    <xdr:from>
      <xdr:col>10</xdr:col>
      <xdr:colOff>666750</xdr:colOff>
      <xdr:row>1</xdr:row>
      <xdr:rowOff>85725</xdr:rowOff>
    </xdr:from>
    <xdr:to>
      <xdr:col>14</xdr:col>
      <xdr:colOff>428625</xdr:colOff>
      <xdr:row>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Subscription Type">
              <a:extLst>
                <a:ext uri="{FF2B5EF4-FFF2-40B4-BE49-F238E27FC236}">
                  <a16:creationId xmlns:a16="http://schemas.microsoft.com/office/drawing/2014/main" id="{0A6ECC7F-BA6E-4803-BFD5-B31841AAA7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5038" y="268898"/>
              <a:ext cx="2333625" cy="1220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682895</xdr:colOff>
      <xdr:row>8</xdr:row>
      <xdr:rowOff>16669</xdr:rowOff>
    </xdr:from>
    <xdr:to>
      <xdr:col>18</xdr:col>
      <xdr:colOff>146796</xdr:colOff>
      <xdr:row>32</xdr:row>
      <xdr:rowOff>57151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DDDA7309-1039-4803-9A22-6136B01D1785}"/>
            </a:ext>
          </a:extLst>
        </xdr:cNvPr>
        <xdr:cNvGrpSpPr/>
      </xdr:nvGrpSpPr>
      <xdr:grpSpPr>
        <a:xfrm>
          <a:off x="7211183" y="1848400"/>
          <a:ext cx="4790575" cy="4297424"/>
          <a:chOff x="7188470" y="1845469"/>
          <a:chExt cx="4769326" cy="4250532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7191375" y="2434213"/>
            <a:ext cx="4752975" cy="3661788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aphicFrame macro="">
        <xdr:nvGraphicFramePr>
          <xdr:cNvPr id="37" name="Gráfico 36">
            <a:extLst>
              <a:ext uri="{FF2B5EF4-FFF2-40B4-BE49-F238E27FC236}">
                <a16:creationId xmlns:a16="http://schemas.microsoft.com/office/drawing/2014/main" id="{A675112B-CD42-4FCA-968F-F594A29387E8}"/>
              </a:ext>
            </a:extLst>
          </xdr:cNvPr>
          <xdr:cNvGraphicFramePr>
            <a:graphicFrameLocks/>
          </xdr:cNvGraphicFramePr>
        </xdr:nvGraphicFramePr>
        <xdr:xfrm>
          <a:off x="7267575" y="2571750"/>
          <a:ext cx="4572000" cy="33432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8" name="Retângulo: Cantos Superiores Arredondados 37">
            <a:extLst>
              <a:ext uri="{FF2B5EF4-FFF2-40B4-BE49-F238E27FC236}">
                <a16:creationId xmlns:a16="http://schemas.microsoft.com/office/drawing/2014/main" id="{F4D878B1-9AE5-439D-ACE0-483DC2DE473A}"/>
              </a:ext>
            </a:extLst>
          </xdr:cNvPr>
          <xdr:cNvSpPr/>
        </xdr:nvSpPr>
        <xdr:spPr>
          <a:xfrm>
            <a:off x="7188470" y="1845469"/>
            <a:ext cx="4769326" cy="75813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REVENUE PER SUBSCRIPTION</a:t>
            </a:r>
          </a:p>
        </xdr:txBody>
      </xdr:sp>
    </xdr:grpSp>
    <xdr:clientData/>
  </xdr:twoCellAnchor>
  <xdr:twoCellAnchor>
    <xdr:from>
      <xdr:col>11</xdr:col>
      <xdr:colOff>0</xdr:colOff>
      <xdr:row>36</xdr:row>
      <xdr:rowOff>114300</xdr:rowOff>
    </xdr:from>
    <xdr:to>
      <xdr:col>18</xdr:col>
      <xdr:colOff>133350</xdr:colOff>
      <xdr:row>46</xdr:row>
      <xdr:rowOff>161926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7E821102-726A-4EA3-9569-11FDFD304004}"/>
            </a:ext>
          </a:extLst>
        </xdr:cNvPr>
        <xdr:cNvSpPr/>
      </xdr:nvSpPr>
      <xdr:spPr>
        <a:xfrm>
          <a:off x="7191375" y="6877050"/>
          <a:ext cx="4752975" cy="1857376"/>
        </a:xfrm>
        <a:prstGeom prst="roundRect">
          <a:avLst>
            <a:gd name="adj" fmla="val 737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682895</xdr:colOff>
      <xdr:row>34</xdr:row>
      <xdr:rowOff>64294</xdr:rowOff>
    </xdr:from>
    <xdr:to>
      <xdr:col>18</xdr:col>
      <xdr:colOff>146796</xdr:colOff>
      <xdr:row>38</xdr:row>
      <xdr:rowOff>98528</xdr:rowOff>
    </xdr:to>
    <xdr:sp macro="" textlink="">
      <xdr:nvSpPr>
        <xdr:cNvPr id="45" name="Retângulo: Cantos Superiores Arredondados 44">
          <a:extLst>
            <a:ext uri="{FF2B5EF4-FFF2-40B4-BE49-F238E27FC236}">
              <a16:creationId xmlns:a16="http://schemas.microsoft.com/office/drawing/2014/main" id="{BA85F250-53A0-42E0-A440-11CF81D2B347}"/>
            </a:ext>
          </a:extLst>
        </xdr:cNvPr>
        <xdr:cNvSpPr/>
      </xdr:nvSpPr>
      <xdr:spPr>
        <a:xfrm>
          <a:off x="7188470" y="6465094"/>
          <a:ext cx="4769326" cy="75813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 SUBSCRIPTIONS MINECRAFT</a:t>
          </a:r>
          <a:r>
            <a:rPr lang="pt-BR" sz="1100" b="1" baseline="0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</a:t>
          </a:r>
          <a:r>
            <a:rPr lang="pt-BR" sz="1100" b="1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SEASON PASS</a:t>
          </a:r>
          <a:endParaRPr lang="pt-BR"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197120</xdr:colOff>
      <xdr:row>8</xdr:row>
      <xdr:rowOff>16669</xdr:rowOff>
    </xdr:from>
    <xdr:to>
      <xdr:col>10</xdr:col>
      <xdr:colOff>175371</xdr:colOff>
      <xdr:row>48</xdr:row>
      <xdr:rowOff>72874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4274992B-E193-487A-8E43-906D8DEF3BF0}"/>
            </a:ext>
          </a:extLst>
        </xdr:cNvPr>
        <xdr:cNvGrpSpPr/>
      </xdr:nvGrpSpPr>
      <xdr:grpSpPr>
        <a:xfrm>
          <a:off x="1904293" y="1848400"/>
          <a:ext cx="4799366" cy="7243916"/>
          <a:chOff x="1902095" y="2197894"/>
          <a:chExt cx="4778851" cy="7161855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1902095" y="2216946"/>
            <a:ext cx="4774928" cy="7142803"/>
            <a:chOff x="2309814" y="1190625"/>
            <a:chExt cx="10275092" cy="2862263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764357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35" name="Gráfico 34">
            <a:extLst>
              <a:ext uri="{FF2B5EF4-FFF2-40B4-BE49-F238E27FC236}">
                <a16:creationId xmlns:a16="http://schemas.microsoft.com/office/drawing/2014/main" id="{E9D4D4A9-9188-4A6D-A243-2B5DD7AD323F}"/>
              </a:ext>
            </a:extLst>
          </xdr:cNvPr>
          <xdr:cNvGraphicFramePr>
            <a:graphicFrameLocks/>
          </xdr:cNvGraphicFramePr>
        </xdr:nvGraphicFramePr>
        <xdr:xfrm>
          <a:off x="1976152" y="3079113"/>
          <a:ext cx="4574020" cy="62736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9" name="Retângulo: Cantos Superiores Arredondados 38">
            <a:extLst>
              <a:ext uri="{FF2B5EF4-FFF2-40B4-BE49-F238E27FC236}">
                <a16:creationId xmlns:a16="http://schemas.microsoft.com/office/drawing/2014/main" id="{1691B064-5CA9-4BFD-A446-4381DD21F92A}"/>
              </a:ext>
            </a:extLst>
          </xdr:cNvPr>
          <xdr:cNvSpPr/>
        </xdr:nvSpPr>
        <xdr:spPr>
          <a:xfrm>
            <a:off x="1911620" y="2197894"/>
            <a:ext cx="4769326" cy="75813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</a:t>
            </a: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AUTO RENEWAL PER PERIOD</a:t>
            </a:r>
            <a:endParaRPr lang="pt-BR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460464</xdr:colOff>
      <xdr:row>41</xdr:row>
      <xdr:rowOff>10914</xdr:rowOff>
    </xdr:from>
    <xdr:to>
      <xdr:col>13</xdr:col>
      <xdr:colOff>496290</xdr:colOff>
      <xdr:row>44</xdr:row>
      <xdr:rowOff>32830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150B2C94-9D5D-49A6-B131-D70888AB2680}"/>
            </a:ext>
          </a:extLst>
        </xdr:cNvPr>
        <xdr:cNvGrpSpPr/>
      </xdr:nvGrpSpPr>
      <xdr:grpSpPr>
        <a:xfrm>
          <a:off x="7677483" y="7748145"/>
          <a:ext cx="1230115" cy="571435"/>
          <a:chOff x="8176789" y="1644711"/>
          <a:chExt cx="1549476" cy="752473"/>
        </a:xfrm>
      </xdr:grpSpPr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1F3EC444-0B76-D734-E296-5A6B57C3B1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79721" y="1644711"/>
            <a:ext cx="555498" cy="609599"/>
          </a:xfrm>
          <a:prstGeom prst="rect">
            <a:avLst/>
          </a:prstGeom>
        </xdr:spPr>
      </xdr:pic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5631692E-5EE0-7C23-216D-35E6E841A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8176789" y="2139971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133350</xdr:colOff>
      <xdr:row>41</xdr:row>
      <xdr:rowOff>0</xdr:rowOff>
    </xdr:from>
    <xdr:to>
      <xdr:col>17</xdr:col>
      <xdr:colOff>600075</xdr:colOff>
      <xdr:row>45</xdr:row>
      <xdr:rowOff>47625</xdr:rowOff>
    </xdr:to>
    <xdr:sp macro="" textlink="C̳álculos!D42">
      <xdr:nvSpPr>
        <xdr:cNvPr id="49" name="Retângulo: Cantos Arredondados 48">
          <a:extLst>
            <a:ext uri="{FF2B5EF4-FFF2-40B4-BE49-F238E27FC236}">
              <a16:creationId xmlns:a16="http://schemas.microsoft.com/office/drawing/2014/main" id="{DF8C5AB5-A371-46A7-A262-DEF254C1914D}"/>
            </a:ext>
          </a:extLst>
        </xdr:cNvPr>
        <xdr:cNvSpPr/>
      </xdr:nvSpPr>
      <xdr:spPr>
        <a:xfrm>
          <a:off x="9201150" y="7667625"/>
          <a:ext cx="2524125" cy="7715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90EEB1C-23F7-439C-8B92-1CA8C7B58346}" type="TxLink">
            <a:rPr lang="en-US" sz="3200" b="0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R$ 940,00</a:t>
          </a:fld>
          <a:endParaRPr lang="pt-BR" sz="3200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16</xdr:col>
      <xdr:colOff>219075</xdr:colOff>
      <xdr:row>4</xdr:row>
      <xdr:rowOff>47625</xdr:rowOff>
    </xdr:from>
    <xdr:to>
      <xdr:col>18</xdr:col>
      <xdr:colOff>425904</xdr:colOff>
      <xdr:row>5</xdr:row>
      <xdr:rowOff>29375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90A2A0BD-F462-4F01-899D-06C099D89C52}"/>
            </a:ext>
          </a:extLst>
        </xdr:cNvPr>
        <xdr:cNvSpPr/>
      </xdr:nvSpPr>
      <xdr:spPr>
        <a:xfrm>
          <a:off x="10658475" y="1181100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kern="1200"/>
            <a:t>&gt; bem vindo</a:t>
          </a:r>
          <a:r>
            <a:rPr lang="pt-BR" sz="1100" b="1" kern="1200"/>
            <a:t>, Carlos</a:t>
          </a:r>
        </a:p>
      </xdr:txBody>
    </xdr:sp>
    <xdr:clientData/>
  </xdr:twoCellAnchor>
  <xdr:twoCellAnchor>
    <xdr:from>
      <xdr:col>17</xdr:col>
      <xdr:colOff>104775</xdr:colOff>
      <xdr:row>1</xdr:row>
      <xdr:rowOff>276225</xdr:rowOff>
    </xdr:from>
    <xdr:to>
      <xdr:col>18</xdr:col>
      <xdr:colOff>133350</xdr:colOff>
      <xdr:row>3</xdr:row>
      <xdr:rowOff>333375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BD8CD68C-8F34-4D12-AAB2-D01A3556D78C}"/>
            </a:ext>
          </a:extLst>
        </xdr:cNvPr>
        <xdr:cNvSpPr/>
      </xdr:nvSpPr>
      <xdr:spPr>
        <a:xfrm>
          <a:off x="11229975" y="457200"/>
          <a:ext cx="71437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85725</xdr:colOff>
      <xdr:row>1</xdr:row>
      <xdr:rowOff>66675</xdr:rowOff>
    </xdr:from>
    <xdr:to>
      <xdr:col>5</xdr:col>
      <xdr:colOff>276225</xdr:colOff>
      <xdr:row>4</xdr:row>
      <xdr:rowOff>238125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61A5DE1C-B3EC-405B-A716-52015418D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47650"/>
          <a:ext cx="3267075" cy="1123950"/>
        </a:xfrm>
        <a:prstGeom prst="rect">
          <a:avLst/>
        </a:prstGeom>
      </xdr:spPr>
    </xdr:pic>
    <xdr:clientData/>
  </xdr:twoCellAnchor>
  <xdr:twoCellAnchor>
    <xdr:from>
      <xdr:col>3</xdr:col>
      <xdr:colOff>428625</xdr:colOff>
      <xdr:row>2</xdr:row>
      <xdr:rowOff>57150</xdr:rowOff>
    </xdr:from>
    <xdr:to>
      <xdr:col>5</xdr:col>
      <xdr:colOff>9525</xdr:colOff>
      <xdr:row>3</xdr:row>
      <xdr:rowOff>295275</xdr:rowOff>
    </xdr:to>
    <xdr:sp macro="" textlink="">
      <xdr:nvSpPr>
        <xdr:cNvPr id="54" name="Retângulo 53">
          <a:extLst>
            <a:ext uri="{FF2B5EF4-FFF2-40B4-BE49-F238E27FC236}">
              <a16:creationId xmlns:a16="http://schemas.microsoft.com/office/drawing/2014/main" id="{40D31420-5F7A-40D5-826F-9BEC4410ABFA}"/>
            </a:ext>
          </a:extLst>
        </xdr:cNvPr>
        <xdr:cNvSpPr/>
      </xdr:nvSpPr>
      <xdr:spPr>
        <a:xfrm>
          <a:off x="2133600" y="590550"/>
          <a:ext cx="952500" cy="485775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0120950e-64c8-4092-a257-ba22ed198c69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n v="15"/>
    <x v="0"/>
    <x v="0"/>
    <x v="0"/>
    <x v="0"/>
    <x v="0"/>
    <n v="5"/>
    <x v="0"/>
  </r>
  <r>
    <x v="1"/>
    <x v="1"/>
    <x v="1"/>
    <d v="2024-01-15T00:00:00"/>
    <x v="1"/>
    <n v="5"/>
    <x v="1"/>
    <x v="1"/>
    <x v="1"/>
    <x v="1"/>
    <x v="1"/>
    <n v="0"/>
    <x v="1"/>
  </r>
  <r>
    <x v="2"/>
    <x v="2"/>
    <x v="2"/>
    <d v="2024-02-10T00:00:00"/>
    <x v="0"/>
    <n v="10"/>
    <x v="2"/>
    <x v="1"/>
    <x v="1"/>
    <x v="0"/>
    <x v="0"/>
    <n v="10"/>
    <x v="2"/>
  </r>
  <r>
    <x v="3"/>
    <x v="3"/>
    <x v="0"/>
    <d v="2024-02-20T00:00:00"/>
    <x v="1"/>
    <n v="15"/>
    <x v="0"/>
    <x v="0"/>
    <x v="0"/>
    <x v="0"/>
    <x v="0"/>
    <n v="3"/>
    <x v="3"/>
  </r>
  <r>
    <x v="4"/>
    <x v="4"/>
    <x v="1"/>
    <d v="2024-03-05T00:00:00"/>
    <x v="0"/>
    <n v="5"/>
    <x v="0"/>
    <x v="1"/>
    <x v="1"/>
    <x v="1"/>
    <x v="1"/>
    <n v="1"/>
    <x v="4"/>
  </r>
  <r>
    <x v="5"/>
    <x v="5"/>
    <x v="2"/>
    <d v="2024-03-02T00:00:00"/>
    <x v="1"/>
    <n v="10"/>
    <x v="0"/>
    <x v="1"/>
    <x v="1"/>
    <x v="0"/>
    <x v="0"/>
    <n v="2"/>
    <x v="5"/>
  </r>
  <r>
    <x v="6"/>
    <x v="6"/>
    <x v="0"/>
    <d v="2024-03-03T00:00:00"/>
    <x v="0"/>
    <n v="15"/>
    <x v="2"/>
    <x v="0"/>
    <x v="0"/>
    <x v="0"/>
    <x v="0"/>
    <n v="10"/>
    <x v="6"/>
  </r>
  <r>
    <x v="7"/>
    <x v="7"/>
    <x v="1"/>
    <d v="2024-03-04T00:00:00"/>
    <x v="0"/>
    <n v="5"/>
    <x v="1"/>
    <x v="1"/>
    <x v="1"/>
    <x v="1"/>
    <x v="1"/>
    <n v="0"/>
    <x v="1"/>
  </r>
  <r>
    <x v="8"/>
    <x v="8"/>
    <x v="0"/>
    <d v="2024-03-05T00:00:00"/>
    <x v="1"/>
    <n v="15"/>
    <x v="0"/>
    <x v="0"/>
    <x v="0"/>
    <x v="0"/>
    <x v="0"/>
    <n v="5"/>
    <x v="0"/>
  </r>
  <r>
    <x v="9"/>
    <x v="9"/>
    <x v="2"/>
    <d v="2024-03-06T00:00:00"/>
    <x v="0"/>
    <n v="10"/>
    <x v="2"/>
    <x v="1"/>
    <x v="1"/>
    <x v="0"/>
    <x v="0"/>
    <n v="15"/>
    <x v="7"/>
  </r>
  <r>
    <x v="10"/>
    <x v="10"/>
    <x v="1"/>
    <d v="2024-03-07T00:00:00"/>
    <x v="1"/>
    <n v="5"/>
    <x v="0"/>
    <x v="1"/>
    <x v="1"/>
    <x v="1"/>
    <x v="1"/>
    <n v="1"/>
    <x v="4"/>
  </r>
  <r>
    <x v="11"/>
    <x v="11"/>
    <x v="0"/>
    <d v="2024-03-08T00:00:00"/>
    <x v="0"/>
    <n v="15"/>
    <x v="1"/>
    <x v="0"/>
    <x v="0"/>
    <x v="0"/>
    <x v="0"/>
    <n v="20"/>
    <x v="8"/>
  </r>
  <r>
    <x v="12"/>
    <x v="12"/>
    <x v="2"/>
    <d v="2024-03-09T00:00:00"/>
    <x v="1"/>
    <n v="10"/>
    <x v="0"/>
    <x v="1"/>
    <x v="1"/>
    <x v="0"/>
    <x v="0"/>
    <n v="10"/>
    <x v="2"/>
  </r>
  <r>
    <x v="13"/>
    <x v="13"/>
    <x v="1"/>
    <d v="2024-03-10T00:00:00"/>
    <x v="0"/>
    <n v="5"/>
    <x v="2"/>
    <x v="1"/>
    <x v="1"/>
    <x v="1"/>
    <x v="1"/>
    <n v="0"/>
    <x v="1"/>
  </r>
  <r>
    <x v="14"/>
    <x v="14"/>
    <x v="0"/>
    <d v="2024-03-11T00:00:00"/>
    <x v="1"/>
    <n v="15"/>
    <x v="0"/>
    <x v="0"/>
    <x v="0"/>
    <x v="0"/>
    <x v="0"/>
    <n v="8"/>
    <x v="9"/>
  </r>
  <r>
    <x v="15"/>
    <x v="15"/>
    <x v="2"/>
    <d v="2024-03-12T00:00:00"/>
    <x v="0"/>
    <n v="10"/>
    <x v="1"/>
    <x v="1"/>
    <x v="1"/>
    <x v="0"/>
    <x v="0"/>
    <n v="12"/>
    <x v="10"/>
  </r>
  <r>
    <x v="16"/>
    <x v="16"/>
    <x v="1"/>
    <d v="2024-03-13T00:00:00"/>
    <x v="1"/>
    <n v="5"/>
    <x v="0"/>
    <x v="1"/>
    <x v="1"/>
    <x v="1"/>
    <x v="1"/>
    <n v="2"/>
    <x v="11"/>
  </r>
  <r>
    <x v="17"/>
    <x v="17"/>
    <x v="0"/>
    <d v="2024-03-14T00:00:00"/>
    <x v="0"/>
    <n v="15"/>
    <x v="2"/>
    <x v="0"/>
    <x v="0"/>
    <x v="0"/>
    <x v="0"/>
    <n v="7"/>
    <x v="12"/>
  </r>
  <r>
    <x v="18"/>
    <x v="18"/>
    <x v="2"/>
    <d v="2024-03-15T00:00:00"/>
    <x v="1"/>
    <n v="10"/>
    <x v="0"/>
    <x v="1"/>
    <x v="1"/>
    <x v="0"/>
    <x v="0"/>
    <n v="5"/>
    <x v="13"/>
  </r>
  <r>
    <x v="19"/>
    <x v="19"/>
    <x v="1"/>
    <d v="2024-03-16T00:00:00"/>
    <x v="0"/>
    <n v="5"/>
    <x v="1"/>
    <x v="1"/>
    <x v="1"/>
    <x v="1"/>
    <x v="1"/>
    <n v="0"/>
    <x v="1"/>
  </r>
  <r>
    <x v="20"/>
    <x v="20"/>
    <x v="0"/>
    <d v="2024-03-17T00:00:00"/>
    <x v="1"/>
    <n v="15"/>
    <x v="0"/>
    <x v="0"/>
    <x v="0"/>
    <x v="0"/>
    <x v="0"/>
    <n v="3"/>
    <x v="3"/>
  </r>
  <r>
    <x v="21"/>
    <x v="21"/>
    <x v="2"/>
    <d v="2024-03-18T00:00:00"/>
    <x v="0"/>
    <n v="10"/>
    <x v="2"/>
    <x v="1"/>
    <x v="1"/>
    <x v="0"/>
    <x v="0"/>
    <n v="15"/>
    <x v="7"/>
  </r>
  <r>
    <x v="22"/>
    <x v="22"/>
    <x v="1"/>
    <d v="2024-03-19T00:00:00"/>
    <x v="1"/>
    <n v="5"/>
    <x v="0"/>
    <x v="1"/>
    <x v="1"/>
    <x v="1"/>
    <x v="1"/>
    <n v="1"/>
    <x v="4"/>
  </r>
  <r>
    <x v="23"/>
    <x v="23"/>
    <x v="0"/>
    <d v="2024-03-20T00:00:00"/>
    <x v="0"/>
    <n v="15"/>
    <x v="1"/>
    <x v="0"/>
    <x v="0"/>
    <x v="0"/>
    <x v="0"/>
    <n v="20"/>
    <x v="8"/>
  </r>
  <r>
    <x v="24"/>
    <x v="24"/>
    <x v="2"/>
    <d v="2024-03-21T00:00:00"/>
    <x v="1"/>
    <n v="10"/>
    <x v="0"/>
    <x v="1"/>
    <x v="1"/>
    <x v="0"/>
    <x v="0"/>
    <n v="10"/>
    <x v="2"/>
  </r>
  <r>
    <x v="25"/>
    <x v="25"/>
    <x v="1"/>
    <d v="2024-03-22T00:00:00"/>
    <x v="0"/>
    <n v="5"/>
    <x v="2"/>
    <x v="1"/>
    <x v="1"/>
    <x v="1"/>
    <x v="1"/>
    <n v="0"/>
    <x v="1"/>
  </r>
  <r>
    <x v="26"/>
    <x v="26"/>
    <x v="0"/>
    <d v="2024-03-23T00:00:00"/>
    <x v="1"/>
    <n v="15"/>
    <x v="0"/>
    <x v="0"/>
    <x v="0"/>
    <x v="0"/>
    <x v="0"/>
    <n v="5"/>
    <x v="0"/>
  </r>
  <r>
    <x v="27"/>
    <x v="27"/>
    <x v="2"/>
    <d v="2024-03-24T00:00:00"/>
    <x v="0"/>
    <n v="10"/>
    <x v="1"/>
    <x v="1"/>
    <x v="1"/>
    <x v="0"/>
    <x v="0"/>
    <n v="15"/>
    <x v="7"/>
  </r>
  <r>
    <x v="28"/>
    <x v="28"/>
    <x v="1"/>
    <d v="2024-03-25T00:00:00"/>
    <x v="1"/>
    <n v="5"/>
    <x v="0"/>
    <x v="1"/>
    <x v="1"/>
    <x v="1"/>
    <x v="1"/>
    <n v="1"/>
    <x v="4"/>
  </r>
  <r>
    <x v="29"/>
    <x v="29"/>
    <x v="0"/>
    <d v="2024-03-26T00:00:00"/>
    <x v="0"/>
    <n v="15"/>
    <x v="2"/>
    <x v="0"/>
    <x v="0"/>
    <x v="0"/>
    <x v="0"/>
    <n v="7"/>
    <x v="12"/>
  </r>
  <r>
    <x v="30"/>
    <x v="30"/>
    <x v="2"/>
    <d v="2024-03-27T00:00:00"/>
    <x v="1"/>
    <n v="10"/>
    <x v="0"/>
    <x v="1"/>
    <x v="1"/>
    <x v="0"/>
    <x v="0"/>
    <n v="10"/>
    <x v="2"/>
  </r>
  <r>
    <x v="31"/>
    <x v="31"/>
    <x v="1"/>
    <d v="2024-03-28T00:00:00"/>
    <x v="0"/>
    <n v="5"/>
    <x v="1"/>
    <x v="1"/>
    <x v="1"/>
    <x v="1"/>
    <x v="1"/>
    <n v="0"/>
    <x v="1"/>
  </r>
  <r>
    <x v="32"/>
    <x v="32"/>
    <x v="0"/>
    <d v="2024-03-29T00:00:00"/>
    <x v="1"/>
    <n v="15"/>
    <x v="0"/>
    <x v="0"/>
    <x v="0"/>
    <x v="0"/>
    <x v="0"/>
    <n v="3"/>
    <x v="3"/>
  </r>
  <r>
    <x v="33"/>
    <x v="33"/>
    <x v="2"/>
    <d v="2024-03-30T00:00:00"/>
    <x v="0"/>
    <n v="10"/>
    <x v="2"/>
    <x v="1"/>
    <x v="1"/>
    <x v="0"/>
    <x v="0"/>
    <n v="15"/>
    <x v="7"/>
  </r>
  <r>
    <x v="34"/>
    <x v="34"/>
    <x v="1"/>
    <d v="2024-03-31T00:00:00"/>
    <x v="1"/>
    <n v="5"/>
    <x v="0"/>
    <x v="1"/>
    <x v="1"/>
    <x v="1"/>
    <x v="1"/>
    <n v="1"/>
    <x v="4"/>
  </r>
  <r>
    <x v="35"/>
    <x v="35"/>
    <x v="1"/>
    <d v="2024-04-01T00:00:00"/>
    <x v="0"/>
    <n v="5"/>
    <x v="0"/>
    <x v="1"/>
    <x v="1"/>
    <x v="1"/>
    <x v="1"/>
    <n v="0"/>
    <x v="1"/>
  </r>
  <r>
    <x v="36"/>
    <x v="36"/>
    <x v="0"/>
    <d v="2024-04-02T00:00:00"/>
    <x v="1"/>
    <n v="15"/>
    <x v="2"/>
    <x v="0"/>
    <x v="0"/>
    <x v="0"/>
    <x v="0"/>
    <n v="7"/>
    <x v="12"/>
  </r>
  <r>
    <x v="37"/>
    <x v="37"/>
    <x v="2"/>
    <d v="2024-04-03T00:00:00"/>
    <x v="0"/>
    <n v="10"/>
    <x v="1"/>
    <x v="1"/>
    <x v="1"/>
    <x v="0"/>
    <x v="0"/>
    <n v="10"/>
    <x v="2"/>
  </r>
  <r>
    <x v="38"/>
    <x v="38"/>
    <x v="1"/>
    <d v="2024-04-04T00:00:00"/>
    <x v="1"/>
    <n v="5"/>
    <x v="2"/>
    <x v="1"/>
    <x v="1"/>
    <x v="1"/>
    <x v="1"/>
    <n v="1"/>
    <x v="4"/>
  </r>
  <r>
    <x v="39"/>
    <x v="39"/>
    <x v="0"/>
    <d v="2024-04-05T00:00:00"/>
    <x v="0"/>
    <n v="15"/>
    <x v="0"/>
    <x v="0"/>
    <x v="0"/>
    <x v="0"/>
    <x v="0"/>
    <n v="15"/>
    <x v="14"/>
  </r>
  <r>
    <x v="40"/>
    <x v="40"/>
    <x v="2"/>
    <d v="2024-04-06T00:00:00"/>
    <x v="1"/>
    <n v="10"/>
    <x v="0"/>
    <x v="1"/>
    <x v="1"/>
    <x v="0"/>
    <x v="0"/>
    <n v="5"/>
    <x v="13"/>
  </r>
  <r>
    <x v="41"/>
    <x v="41"/>
    <x v="1"/>
    <d v="2024-04-07T00:00:00"/>
    <x v="0"/>
    <n v="5"/>
    <x v="1"/>
    <x v="1"/>
    <x v="1"/>
    <x v="1"/>
    <x v="1"/>
    <n v="0"/>
    <x v="1"/>
  </r>
  <r>
    <x v="42"/>
    <x v="42"/>
    <x v="0"/>
    <d v="2024-04-08T00:00:00"/>
    <x v="1"/>
    <n v="15"/>
    <x v="2"/>
    <x v="0"/>
    <x v="0"/>
    <x v="0"/>
    <x v="0"/>
    <n v="20"/>
    <x v="8"/>
  </r>
  <r>
    <x v="43"/>
    <x v="43"/>
    <x v="2"/>
    <d v="2024-04-09T00:00:00"/>
    <x v="0"/>
    <n v="10"/>
    <x v="2"/>
    <x v="1"/>
    <x v="1"/>
    <x v="0"/>
    <x v="0"/>
    <n v="12"/>
    <x v="10"/>
  </r>
  <r>
    <x v="44"/>
    <x v="44"/>
    <x v="1"/>
    <d v="2024-04-10T00:00:00"/>
    <x v="1"/>
    <n v="5"/>
    <x v="0"/>
    <x v="1"/>
    <x v="1"/>
    <x v="1"/>
    <x v="1"/>
    <n v="2"/>
    <x v="11"/>
  </r>
  <r>
    <x v="45"/>
    <x v="45"/>
    <x v="0"/>
    <d v="2024-04-11T00:00:00"/>
    <x v="0"/>
    <n v="15"/>
    <x v="1"/>
    <x v="0"/>
    <x v="0"/>
    <x v="0"/>
    <x v="0"/>
    <n v="5"/>
    <x v="0"/>
  </r>
  <r>
    <x v="46"/>
    <x v="46"/>
    <x v="2"/>
    <d v="2024-04-12T00:00:00"/>
    <x v="1"/>
    <n v="10"/>
    <x v="0"/>
    <x v="1"/>
    <x v="1"/>
    <x v="0"/>
    <x v="0"/>
    <n v="10"/>
    <x v="2"/>
  </r>
  <r>
    <x v="47"/>
    <x v="47"/>
    <x v="1"/>
    <d v="2024-04-13T00:00:00"/>
    <x v="0"/>
    <n v="5"/>
    <x v="2"/>
    <x v="1"/>
    <x v="1"/>
    <x v="1"/>
    <x v="1"/>
    <n v="0"/>
    <x v="1"/>
  </r>
  <r>
    <x v="48"/>
    <x v="48"/>
    <x v="0"/>
    <d v="2024-04-14T00:00:00"/>
    <x v="1"/>
    <n v="15"/>
    <x v="0"/>
    <x v="0"/>
    <x v="0"/>
    <x v="0"/>
    <x v="0"/>
    <n v="3"/>
    <x v="3"/>
  </r>
  <r>
    <x v="49"/>
    <x v="49"/>
    <x v="2"/>
    <d v="2024-04-15T00:00:00"/>
    <x v="0"/>
    <n v="10"/>
    <x v="1"/>
    <x v="1"/>
    <x v="1"/>
    <x v="0"/>
    <x v="0"/>
    <n v="15"/>
    <x v="7"/>
  </r>
  <r>
    <x v="50"/>
    <x v="50"/>
    <x v="1"/>
    <d v="2024-04-16T00:00:00"/>
    <x v="1"/>
    <n v="5"/>
    <x v="0"/>
    <x v="1"/>
    <x v="1"/>
    <x v="1"/>
    <x v="1"/>
    <n v="1"/>
    <x v="4"/>
  </r>
  <r>
    <x v="51"/>
    <x v="51"/>
    <x v="0"/>
    <d v="2024-04-17T00:00:00"/>
    <x v="0"/>
    <n v="15"/>
    <x v="2"/>
    <x v="0"/>
    <x v="0"/>
    <x v="0"/>
    <x v="0"/>
    <n v="7"/>
    <x v="12"/>
  </r>
  <r>
    <x v="52"/>
    <x v="52"/>
    <x v="2"/>
    <d v="2024-04-18T00:00:00"/>
    <x v="1"/>
    <n v="10"/>
    <x v="0"/>
    <x v="1"/>
    <x v="1"/>
    <x v="0"/>
    <x v="0"/>
    <n v="10"/>
    <x v="2"/>
  </r>
  <r>
    <x v="53"/>
    <x v="53"/>
    <x v="1"/>
    <d v="2024-04-19T00:00:00"/>
    <x v="0"/>
    <n v="5"/>
    <x v="1"/>
    <x v="1"/>
    <x v="1"/>
    <x v="1"/>
    <x v="1"/>
    <n v="0"/>
    <x v="1"/>
  </r>
  <r>
    <x v="54"/>
    <x v="54"/>
    <x v="0"/>
    <d v="2024-04-20T00:00:00"/>
    <x v="1"/>
    <n v="15"/>
    <x v="0"/>
    <x v="0"/>
    <x v="0"/>
    <x v="0"/>
    <x v="0"/>
    <n v="20"/>
    <x v="8"/>
  </r>
  <r>
    <x v="55"/>
    <x v="55"/>
    <x v="2"/>
    <d v="2024-04-21T00:00:00"/>
    <x v="0"/>
    <n v="10"/>
    <x v="2"/>
    <x v="1"/>
    <x v="1"/>
    <x v="0"/>
    <x v="0"/>
    <n v="15"/>
    <x v="7"/>
  </r>
  <r>
    <x v="56"/>
    <x v="56"/>
    <x v="1"/>
    <d v="2024-04-22T00:00:00"/>
    <x v="1"/>
    <n v="5"/>
    <x v="0"/>
    <x v="1"/>
    <x v="1"/>
    <x v="1"/>
    <x v="1"/>
    <n v="1"/>
    <x v="4"/>
  </r>
  <r>
    <x v="57"/>
    <x v="57"/>
    <x v="0"/>
    <d v="2024-04-23T00:00:00"/>
    <x v="0"/>
    <n v="15"/>
    <x v="1"/>
    <x v="0"/>
    <x v="0"/>
    <x v="0"/>
    <x v="0"/>
    <n v="3"/>
    <x v="3"/>
  </r>
  <r>
    <x v="58"/>
    <x v="58"/>
    <x v="2"/>
    <d v="2024-04-24T00:00:00"/>
    <x v="1"/>
    <n v="10"/>
    <x v="0"/>
    <x v="1"/>
    <x v="1"/>
    <x v="0"/>
    <x v="0"/>
    <n v="10"/>
    <x v="2"/>
  </r>
  <r>
    <x v="59"/>
    <x v="59"/>
    <x v="1"/>
    <d v="2024-04-25T00:00:00"/>
    <x v="0"/>
    <n v="5"/>
    <x v="2"/>
    <x v="1"/>
    <x v="1"/>
    <x v="1"/>
    <x v="1"/>
    <n v="0"/>
    <x v="1"/>
  </r>
  <r>
    <x v="60"/>
    <x v="60"/>
    <x v="0"/>
    <d v="2024-04-26T00:00:00"/>
    <x v="1"/>
    <n v="15"/>
    <x v="0"/>
    <x v="0"/>
    <x v="0"/>
    <x v="0"/>
    <x v="0"/>
    <n v="5"/>
    <x v="0"/>
  </r>
  <r>
    <x v="61"/>
    <x v="61"/>
    <x v="2"/>
    <d v="2024-04-27T00:00:00"/>
    <x v="0"/>
    <n v="10"/>
    <x v="1"/>
    <x v="1"/>
    <x v="1"/>
    <x v="0"/>
    <x v="0"/>
    <n v="15"/>
    <x v="7"/>
  </r>
  <r>
    <x v="62"/>
    <x v="62"/>
    <x v="1"/>
    <d v="2024-04-28T00:00:00"/>
    <x v="1"/>
    <n v="5"/>
    <x v="0"/>
    <x v="1"/>
    <x v="1"/>
    <x v="1"/>
    <x v="1"/>
    <n v="1"/>
    <x v="4"/>
  </r>
  <r>
    <x v="63"/>
    <x v="63"/>
    <x v="0"/>
    <d v="2024-04-29T00:00:00"/>
    <x v="0"/>
    <n v="15"/>
    <x v="2"/>
    <x v="0"/>
    <x v="0"/>
    <x v="0"/>
    <x v="0"/>
    <n v="20"/>
    <x v="8"/>
  </r>
  <r>
    <x v="64"/>
    <x v="64"/>
    <x v="2"/>
    <d v="2024-04-30T00:00:00"/>
    <x v="1"/>
    <n v="10"/>
    <x v="0"/>
    <x v="1"/>
    <x v="1"/>
    <x v="0"/>
    <x v="0"/>
    <n v="5"/>
    <x v="13"/>
  </r>
  <r>
    <x v="65"/>
    <x v="65"/>
    <x v="1"/>
    <d v="2024-05-01T00:00:00"/>
    <x v="1"/>
    <n v="5"/>
    <x v="0"/>
    <x v="1"/>
    <x v="1"/>
    <x v="1"/>
    <x v="1"/>
    <n v="0"/>
    <x v="1"/>
  </r>
  <r>
    <x v="66"/>
    <x v="66"/>
    <x v="0"/>
    <d v="2024-05-02T00:00:00"/>
    <x v="0"/>
    <n v="15"/>
    <x v="2"/>
    <x v="0"/>
    <x v="0"/>
    <x v="0"/>
    <x v="0"/>
    <n v="7"/>
    <x v="12"/>
  </r>
  <r>
    <x v="67"/>
    <x v="67"/>
    <x v="2"/>
    <d v="2024-05-03T00:00:00"/>
    <x v="1"/>
    <n v="10"/>
    <x v="1"/>
    <x v="1"/>
    <x v="1"/>
    <x v="0"/>
    <x v="0"/>
    <n v="10"/>
    <x v="2"/>
  </r>
  <r>
    <x v="68"/>
    <x v="68"/>
    <x v="1"/>
    <d v="2024-05-04T00:00:00"/>
    <x v="0"/>
    <n v="5"/>
    <x v="2"/>
    <x v="1"/>
    <x v="1"/>
    <x v="1"/>
    <x v="1"/>
    <n v="1"/>
    <x v="4"/>
  </r>
  <r>
    <x v="69"/>
    <x v="69"/>
    <x v="0"/>
    <d v="2024-05-05T00:00:00"/>
    <x v="1"/>
    <n v="15"/>
    <x v="0"/>
    <x v="0"/>
    <x v="0"/>
    <x v="0"/>
    <x v="0"/>
    <n v="15"/>
    <x v="14"/>
  </r>
  <r>
    <x v="70"/>
    <x v="70"/>
    <x v="2"/>
    <d v="2024-05-06T00:00:00"/>
    <x v="0"/>
    <n v="10"/>
    <x v="0"/>
    <x v="1"/>
    <x v="1"/>
    <x v="0"/>
    <x v="0"/>
    <n v="5"/>
    <x v="13"/>
  </r>
  <r>
    <x v="71"/>
    <x v="71"/>
    <x v="1"/>
    <d v="2024-05-07T00:00:00"/>
    <x v="1"/>
    <n v="5"/>
    <x v="1"/>
    <x v="1"/>
    <x v="1"/>
    <x v="1"/>
    <x v="1"/>
    <n v="0"/>
    <x v="1"/>
  </r>
  <r>
    <x v="72"/>
    <x v="72"/>
    <x v="0"/>
    <d v="2024-05-08T00:00:00"/>
    <x v="0"/>
    <n v="15"/>
    <x v="2"/>
    <x v="0"/>
    <x v="0"/>
    <x v="0"/>
    <x v="0"/>
    <n v="20"/>
    <x v="8"/>
  </r>
  <r>
    <x v="73"/>
    <x v="73"/>
    <x v="2"/>
    <d v="2024-05-09T00:00:00"/>
    <x v="1"/>
    <n v="10"/>
    <x v="2"/>
    <x v="1"/>
    <x v="1"/>
    <x v="0"/>
    <x v="0"/>
    <n v="12"/>
    <x v="10"/>
  </r>
  <r>
    <x v="74"/>
    <x v="74"/>
    <x v="1"/>
    <d v="2024-05-10T00:00:00"/>
    <x v="0"/>
    <n v="5"/>
    <x v="0"/>
    <x v="1"/>
    <x v="1"/>
    <x v="1"/>
    <x v="1"/>
    <n v="2"/>
    <x v="11"/>
  </r>
  <r>
    <x v="75"/>
    <x v="75"/>
    <x v="0"/>
    <d v="2024-05-11T00:00:00"/>
    <x v="1"/>
    <n v="15"/>
    <x v="1"/>
    <x v="0"/>
    <x v="0"/>
    <x v="0"/>
    <x v="0"/>
    <n v="5"/>
    <x v="0"/>
  </r>
  <r>
    <x v="76"/>
    <x v="76"/>
    <x v="2"/>
    <d v="2024-05-12T00:00:00"/>
    <x v="0"/>
    <n v="10"/>
    <x v="0"/>
    <x v="1"/>
    <x v="1"/>
    <x v="0"/>
    <x v="0"/>
    <n v="10"/>
    <x v="2"/>
  </r>
  <r>
    <x v="77"/>
    <x v="77"/>
    <x v="1"/>
    <d v="2024-05-13T00:00:00"/>
    <x v="1"/>
    <n v="5"/>
    <x v="2"/>
    <x v="1"/>
    <x v="1"/>
    <x v="1"/>
    <x v="1"/>
    <n v="0"/>
    <x v="1"/>
  </r>
  <r>
    <x v="78"/>
    <x v="78"/>
    <x v="0"/>
    <d v="2024-05-14T00:00:00"/>
    <x v="0"/>
    <n v="15"/>
    <x v="0"/>
    <x v="0"/>
    <x v="0"/>
    <x v="0"/>
    <x v="0"/>
    <n v="3"/>
    <x v="3"/>
  </r>
  <r>
    <x v="79"/>
    <x v="79"/>
    <x v="2"/>
    <d v="2024-05-15T00:00:00"/>
    <x v="1"/>
    <n v="10"/>
    <x v="1"/>
    <x v="1"/>
    <x v="1"/>
    <x v="0"/>
    <x v="0"/>
    <n v="15"/>
    <x v="7"/>
  </r>
  <r>
    <x v="80"/>
    <x v="80"/>
    <x v="1"/>
    <d v="2024-05-16T00:00:00"/>
    <x v="0"/>
    <n v="5"/>
    <x v="0"/>
    <x v="1"/>
    <x v="1"/>
    <x v="1"/>
    <x v="1"/>
    <n v="1"/>
    <x v="4"/>
  </r>
  <r>
    <x v="81"/>
    <x v="81"/>
    <x v="0"/>
    <d v="2024-05-17T00:00:00"/>
    <x v="1"/>
    <n v="15"/>
    <x v="2"/>
    <x v="0"/>
    <x v="0"/>
    <x v="0"/>
    <x v="0"/>
    <n v="7"/>
    <x v="12"/>
  </r>
  <r>
    <x v="82"/>
    <x v="82"/>
    <x v="2"/>
    <d v="2024-05-18T00:00:00"/>
    <x v="0"/>
    <n v="10"/>
    <x v="0"/>
    <x v="1"/>
    <x v="1"/>
    <x v="0"/>
    <x v="0"/>
    <n v="10"/>
    <x v="2"/>
  </r>
  <r>
    <x v="83"/>
    <x v="83"/>
    <x v="1"/>
    <d v="2024-05-19T00:00:00"/>
    <x v="1"/>
    <n v="5"/>
    <x v="1"/>
    <x v="1"/>
    <x v="1"/>
    <x v="1"/>
    <x v="1"/>
    <n v="0"/>
    <x v="1"/>
  </r>
  <r>
    <x v="84"/>
    <x v="84"/>
    <x v="0"/>
    <d v="2024-05-20T00:00:00"/>
    <x v="0"/>
    <n v="15"/>
    <x v="0"/>
    <x v="0"/>
    <x v="0"/>
    <x v="0"/>
    <x v="0"/>
    <n v="20"/>
    <x v="8"/>
  </r>
  <r>
    <x v="85"/>
    <x v="85"/>
    <x v="2"/>
    <d v="2024-05-21T00:00:00"/>
    <x v="1"/>
    <n v="10"/>
    <x v="2"/>
    <x v="1"/>
    <x v="1"/>
    <x v="0"/>
    <x v="0"/>
    <n v="15"/>
    <x v="7"/>
  </r>
  <r>
    <x v="86"/>
    <x v="86"/>
    <x v="1"/>
    <d v="2024-05-22T00:00:00"/>
    <x v="0"/>
    <n v="5"/>
    <x v="0"/>
    <x v="1"/>
    <x v="1"/>
    <x v="1"/>
    <x v="1"/>
    <n v="1"/>
    <x v="4"/>
  </r>
  <r>
    <x v="87"/>
    <x v="87"/>
    <x v="0"/>
    <d v="2024-05-23T00:00:00"/>
    <x v="1"/>
    <n v="15"/>
    <x v="1"/>
    <x v="0"/>
    <x v="0"/>
    <x v="0"/>
    <x v="0"/>
    <n v="3"/>
    <x v="3"/>
  </r>
  <r>
    <x v="88"/>
    <x v="88"/>
    <x v="2"/>
    <d v="2024-05-24T00:00:00"/>
    <x v="0"/>
    <n v="10"/>
    <x v="0"/>
    <x v="1"/>
    <x v="1"/>
    <x v="0"/>
    <x v="0"/>
    <n v="10"/>
    <x v="2"/>
  </r>
  <r>
    <x v="89"/>
    <x v="89"/>
    <x v="1"/>
    <d v="2024-05-25T00:00:00"/>
    <x v="1"/>
    <n v="5"/>
    <x v="2"/>
    <x v="1"/>
    <x v="1"/>
    <x v="1"/>
    <x v="1"/>
    <n v="0"/>
    <x v="1"/>
  </r>
  <r>
    <x v="90"/>
    <x v="90"/>
    <x v="0"/>
    <d v="2024-05-26T00:00:00"/>
    <x v="0"/>
    <n v="15"/>
    <x v="0"/>
    <x v="0"/>
    <x v="0"/>
    <x v="0"/>
    <x v="0"/>
    <n v="5"/>
    <x v="0"/>
  </r>
  <r>
    <x v="91"/>
    <x v="91"/>
    <x v="2"/>
    <d v="2024-05-27T00:00:00"/>
    <x v="1"/>
    <n v="10"/>
    <x v="1"/>
    <x v="1"/>
    <x v="1"/>
    <x v="0"/>
    <x v="0"/>
    <n v="15"/>
    <x v="7"/>
  </r>
  <r>
    <x v="92"/>
    <x v="92"/>
    <x v="1"/>
    <d v="2024-05-28T00:00:00"/>
    <x v="0"/>
    <n v="5"/>
    <x v="0"/>
    <x v="1"/>
    <x v="1"/>
    <x v="1"/>
    <x v="1"/>
    <n v="1"/>
    <x v="4"/>
  </r>
  <r>
    <x v="93"/>
    <x v="93"/>
    <x v="0"/>
    <d v="2024-05-29T00:00:00"/>
    <x v="1"/>
    <n v="15"/>
    <x v="2"/>
    <x v="0"/>
    <x v="0"/>
    <x v="0"/>
    <x v="0"/>
    <n v="20"/>
    <x v="8"/>
  </r>
  <r>
    <x v="94"/>
    <x v="94"/>
    <x v="2"/>
    <d v="2024-05-30T00:00:00"/>
    <x v="0"/>
    <n v="10"/>
    <x v="2"/>
    <x v="1"/>
    <x v="1"/>
    <x v="0"/>
    <x v="0"/>
    <n v="15"/>
    <x v="7"/>
  </r>
  <r>
    <x v="95"/>
    <x v="95"/>
    <x v="1"/>
    <d v="2024-05-31T00:00:00"/>
    <x v="1"/>
    <n v="5"/>
    <x v="1"/>
    <x v="1"/>
    <x v="1"/>
    <x v="1"/>
    <x v="1"/>
    <n v="0"/>
    <x v="1"/>
  </r>
  <r>
    <x v="96"/>
    <x v="96"/>
    <x v="0"/>
    <d v="2024-06-01T00:00:00"/>
    <x v="0"/>
    <n v="15"/>
    <x v="0"/>
    <x v="0"/>
    <x v="0"/>
    <x v="0"/>
    <x v="0"/>
    <n v="7"/>
    <x v="12"/>
  </r>
  <r>
    <x v="97"/>
    <x v="97"/>
    <x v="2"/>
    <d v="2024-06-02T00:00:00"/>
    <x v="1"/>
    <n v="10"/>
    <x v="1"/>
    <x v="1"/>
    <x v="1"/>
    <x v="0"/>
    <x v="0"/>
    <n v="10"/>
    <x v="2"/>
  </r>
  <r>
    <x v="98"/>
    <x v="98"/>
    <x v="1"/>
    <d v="2024-06-03T00:00:00"/>
    <x v="0"/>
    <n v="5"/>
    <x v="2"/>
    <x v="1"/>
    <x v="1"/>
    <x v="1"/>
    <x v="1"/>
    <n v="1"/>
    <x v="4"/>
  </r>
  <r>
    <x v="99"/>
    <x v="99"/>
    <x v="0"/>
    <d v="2024-06-04T00:00:00"/>
    <x v="1"/>
    <n v="15"/>
    <x v="0"/>
    <x v="0"/>
    <x v="0"/>
    <x v="0"/>
    <x v="0"/>
    <n v="15"/>
    <x v="14"/>
  </r>
  <r>
    <x v="100"/>
    <x v="100"/>
    <x v="2"/>
    <d v="2024-06-05T00:00:00"/>
    <x v="0"/>
    <n v="10"/>
    <x v="0"/>
    <x v="1"/>
    <x v="1"/>
    <x v="0"/>
    <x v="0"/>
    <n v="5"/>
    <x v="13"/>
  </r>
  <r>
    <x v="101"/>
    <x v="101"/>
    <x v="1"/>
    <d v="2024-06-06T00:00:00"/>
    <x v="1"/>
    <n v="5"/>
    <x v="1"/>
    <x v="1"/>
    <x v="1"/>
    <x v="1"/>
    <x v="1"/>
    <n v="0"/>
    <x v="1"/>
  </r>
  <r>
    <x v="102"/>
    <x v="102"/>
    <x v="0"/>
    <d v="2024-06-07T00:00:00"/>
    <x v="0"/>
    <n v="15"/>
    <x v="2"/>
    <x v="0"/>
    <x v="0"/>
    <x v="0"/>
    <x v="0"/>
    <n v="20"/>
    <x v="8"/>
  </r>
  <r>
    <x v="103"/>
    <x v="103"/>
    <x v="2"/>
    <d v="2024-06-08T00:00:00"/>
    <x v="1"/>
    <n v="10"/>
    <x v="2"/>
    <x v="1"/>
    <x v="1"/>
    <x v="0"/>
    <x v="0"/>
    <n v="12"/>
    <x v="10"/>
  </r>
  <r>
    <x v="104"/>
    <x v="104"/>
    <x v="1"/>
    <d v="2024-06-09T00:00:00"/>
    <x v="0"/>
    <n v="5"/>
    <x v="0"/>
    <x v="1"/>
    <x v="1"/>
    <x v="1"/>
    <x v="1"/>
    <n v="2"/>
    <x v="11"/>
  </r>
  <r>
    <x v="105"/>
    <x v="105"/>
    <x v="1"/>
    <d v="2024-06-10T00:00:00"/>
    <x v="0"/>
    <n v="5"/>
    <x v="0"/>
    <x v="1"/>
    <x v="1"/>
    <x v="1"/>
    <x v="1"/>
    <n v="0"/>
    <x v="1"/>
  </r>
  <r>
    <x v="106"/>
    <x v="106"/>
    <x v="0"/>
    <d v="2024-06-11T00:00:00"/>
    <x v="1"/>
    <n v="15"/>
    <x v="2"/>
    <x v="0"/>
    <x v="0"/>
    <x v="0"/>
    <x v="0"/>
    <n v="7"/>
    <x v="12"/>
  </r>
  <r>
    <x v="107"/>
    <x v="107"/>
    <x v="2"/>
    <d v="2024-06-12T00:00:00"/>
    <x v="0"/>
    <n v="10"/>
    <x v="1"/>
    <x v="1"/>
    <x v="1"/>
    <x v="0"/>
    <x v="0"/>
    <n v="10"/>
    <x v="2"/>
  </r>
  <r>
    <x v="108"/>
    <x v="108"/>
    <x v="1"/>
    <d v="2024-06-13T00:00:00"/>
    <x v="1"/>
    <n v="5"/>
    <x v="2"/>
    <x v="1"/>
    <x v="1"/>
    <x v="1"/>
    <x v="1"/>
    <n v="1"/>
    <x v="4"/>
  </r>
  <r>
    <x v="109"/>
    <x v="109"/>
    <x v="0"/>
    <d v="2024-06-14T00:00:00"/>
    <x v="0"/>
    <n v="15"/>
    <x v="0"/>
    <x v="0"/>
    <x v="0"/>
    <x v="0"/>
    <x v="0"/>
    <n v="15"/>
    <x v="14"/>
  </r>
  <r>
    <x v="110"/>
    <x v="110"/>
    <x v="2"/>
    <d v="2024-06-15T00:00:00"/>
    <x v="1"/>
    <n v="10"/>
    <x v="0"/>
    <x v="1"/>
    <x v="1"/>
    <x v="0"/>
    <x v="0"/>
    <n v="5"/>
    <x v="13"/>
  </r>
  <r>
    <x v="111"/>
    <x v="111"/>
    <x v="1"/>
    <d v="2024-06-16T00:00:00"/>
    <x v="0"/>
    <n v="5"/>
    <x v="1"/>
    <x v="1"/>
    <x v="1"/>
    <x v="1"/>
    <x v="1"/>
    <n v="0"/>
    <x v="1"/>
  </r>
  <r>
    <x v="112"/>
    <x v="112"/>
    <x v="0"/>
    <d v="2024-06-17T00:00:00"/>
    <x v="1"/>
    <n v="15"/>
    <x v="2"/>
    <x v="0"/>
    <x v="0"/>
    <x v="0"/>
    <x v="0"/>
    <n v="20"/>
    <x v="8"/>
  </r>
  <r>
    <x v="113"/>
    <x v="113"/>
    <x v="2"/>
    <d v="2024-06-18T00:00:00"/>
    <x v="0"/>
    <n v="10"/>
    <x v="2"/>
    <x v="1"/>
    <x v="1"/>
    <x v="0"/>
    <x v="0"/>
    <n v="12"/>
    <x v="10"/>
  </r>
  <r>
    <x v="114"/>
    <x v="114"/>
    <x v="1"/>
    <d v="2024-06-19T00:00:00"/>
    <x v="1"/>
    <n v="5"/>
    <x v="0"/>
    <x v="1"/>
    <x v="1"/>
    <x v="1"/>
    <x v="1"/>
    <n v="2"/>
    <x v="11"/>
  </r>
  <r>
    <x v="115"/>
    <x v="115"/>
    <x v="0"/>
    <d v="2024-06-20T00:00:00"/>
    <x v="0"/>
    <n v="15"/>
    <x v="1"/>
    <x v="0"/>
    <x v="0"/>
    <x v="0"/>
    <x v="0"/>
    <n v="5"/>
    <x v="0"/>
  </r>
  <r>
    <x v="116"/>
    <x v="116"/>
    <x v="2"/>
    <d v="2024-06-21T00:00:00"/>
    <x v="1"/>
    <n v="10"/>
    <x v="0"/>
    <x v="1"/>
    <x v="1"/>
    <x v="0"/>
    <x v="0"/>
    <n v="10"/>
    <x v="2"/>
  </r>
  <r>
    <x v="117"/>
    <x v="117"/>
    <x v="1"/>
    <d v="2024-06-22T00:00:00"/>
    <x v="0"/>
    <n v="5"/>
    <x v="2"/>
    <x v="1"/>
    <x v="1"/>
    <x v="1"/>
    <x v="1"/>
    <n v="0"/>
    <x v="1"/>
  </r>
  <r>
    <x v="118"/>
    <x v="93"/>
    <x v="0"/>
    <d v="2024-06-23T00:00:00"/>
    <x v="1"/>
    <n v="15"/>
    <x v="0"/>
    <x v="0"/>
    <x v="0"/>
    <x v="0"/>
    <x v="0"/>
    <n v="3"/>
    <x v="3"/>
  </r>
  <r>
    <x v="119"/>
    <x v="118"/>
    <x v="2"/>
    <d v="2024-06-24T00:00:00"/>
    <x v="0"/>
    <n v="10"/>
    <x v="1"/>
    <x v="1"/>
    <x v="1"/>
    <x v="0"/>
    <x v="0"/>
    <n v="15"/>
    <x v="7"/>
  </r>
  <r>
    <x v="120"/>
    <x v="119"/>
    <x v="1"/>
    <d v="2024-06-25T00:00:00"/>
    <x v="1"/>
    <n v="5"/>
    <x v="0"/>
    <x v="1"/>
    <x v="1"/>
    <x v="1"/>
    <x v="1"/>
    <n v="1"/>
    <x v="4"/>
  </r>
  <r>
    <x v="121"/>
    <x v="120"/>
    <x v="0"/>
    <d v="2024-06-26T00:00:00"/>
    <x v="0"/>
    <n v="15"/>
    <x v="2"/>
    <x v="0"/>
    <x v="0"/>
    <x v="0"/>
    <x v="0"/>
    <n v="7"/>
    <x v="12"/>
  </r>
  <r>
    <x v="122"/>
    <x v="121"/>
    <x v="2"/>
    <d v="2024-06-27T00:00:00"/>
    <x v="1"/>
    <n v="10"/>
    <x v="0"/>
    <x v="1"/>
    <x v="1"/>
    <x v="0"/>
    <x v="0"/>
    <n v="10"/>
    <x v="2"/>
  </r>
  <r>
    <x v="123"/>
    <x v="122"/>
    <x v="1"/>
    <d v="2024-06-28T00:00:00"/>
    <x v="0"/>
    <n v="5"/>
    <x v="1"/>
    <x v="1"/>
    <x v="1"/>
    <x v="1"/>
    <x v="1"/>
    <n v="0"/>
    <x v="1"/>
  </r>
  <r>
    <x v="124"/>
    <x v="123"/>
    <x v="0"/>
    <d v="2024-06-29T00:00:00"/>
    <x v="1"/>
    <n v="15"/>
    <x v="0"/>
    <x v="0"/>
    <x v="0"/>
    <x v="0"/>
    <x v="0"/>
    <n v="20"/>
    <x v="8"/>
  </r>
  <r>
    <x v="125"/>
    <x v="124"/>
    <x v="2"/>
    <d v="2024-06-30T00:00:00"/>
    <x v="0"/>
    <n v="10"/>
    <x v="2"/>
    <x v="1"/>
    <x v="1"/>
    <x v="0"/>
    <x v="0"/>
    <n v="15"/>
    <x v="7"/>
  </r>
  <r>
    <x v="126"/>
    <x v="125"/>
    <x v="1"/>
    <d v="2024-07-01T00:00:00"/>
    <x v="1"/>
    <n v="5"/>
    <x v="0"/>
    <x v="1"/>
    <x v="1"/>
    <x v="1"/>
    <x v="1"/>
    <n v="1"/>
    <x v="4"/>
  </r>
  <r>
    <x v="127"/>
    <x v="126"/>
    <x v="0"/>
    <d v="2024-07-02T00:00:00"/>
    <x v="0"/>
    <n v="15"/>
    <x v="1"/>
    <x v="0"/>
    <x v="0"/>
    <x v="0"/>
    <x v="0"/>
    <n v="3"/>
    <x v="3"/>
  </r>
  <r>
    <x v="128"/>
    <x v="127"/>
    <x v="2"/>
    <d v="2024-07-03T00:00:00"/>
    <x v="1"/>
    <n v="10"/>
    <x v="0"/>
    <x v="1"/>
    <x v="1"/>
    <x v="0"/>
    <x v="0"/>
    <n v="10"/>
    <x v="2"/>
  </r>
  <r>
    <x v="129"/>
    <x v="128"/>
    <x v="1"/>
    <d v="2024-07-04T00:00:00"/>
    <x v="0"/>
    <n v="5"/>
    <x v="2"/>
    <x v="1"/>
    <x v="1"/>
    <x v="1"/>
    <x v="1"/>
    <n v="0"/>
    <x v="1"/>
  </r>
  <r>
    <x v="130"/>
    <x v="129"/>
    <x v="0"/>
    <d v="2024-07-05T00:00:00"/>
    <x v="1"/>
    <n v="15"/>
    <x v="0"/>
    <x v="0"/>
    <x v="0"/>
    <x v="0"/>
    <x v="0"/>
    <n v="15"/>
    <x v="14"/>
  </r>
  <r>
    <x v="131"/>
    <x v="130"/>
    <x v="2"/>
    <d v="2024-07-06T00:00:00"/>
    <x v="0"/>
    <n v="10"/>
    <x v="1"/>
    <x v="1"/>
    <x v="1"/>
    <x v="0"/>
    <x v="0"/>
    <n v="15"/>
    <x v="7"/>
  </r>
  <r>
    <x v="132"/>
    <x v="131"/>
    <x v="1"/>
    <d v="2024-07-07T00:00:00"/>
    <x v="1"/>
    <n v="5"/>
    <x v="0"/>
    <x v="1"/>
    <x v="1"/>
    <x v="1"/>
    <x v="1"/>
    <n v="1"/>
    <x v="4"/>
  </r>
  <r>
    <x v="133"/>
    <x v="132"/>
    <x v="0"/>
    <d v="2024-07-08T00:00:00"/>
    <x v="0"/>
    <n v="15"/>
    <x v="2"/>
    <x v="0"/>
    <x v="0"/>
    <x v="0"/>
    <x v="0"/>
    <n v="7"/>
    <x v="12"/>
  </r>
  <r>
    <x v="134"/>
    <x v="133"/>
    <x v="2"/>
    <d v="2024-07-09T00:00:00"/>
    <x v="1"/>
    <n v="10"/>
    <x v="0"/>
    <x v="1"/>
    <x v="1"/>
    <x v="0"/>
    <x v="0"/>
    <n v="10"/>
    <x v="2"/>
  </r>
  <r>
    <x v="135"/>
    <x v="134"/>
    <x v="1"/>
    <d v="2024-07-10T00:00:00"/>
    <x v="0"/>
    <n v="5"/>
    <x v="0"/>
    <x v="1"/>
    <x v="1"/>
    <x v="1"/>
    <x v="1"/>
    <n v="0"/>
    <x v="1"/>
  </r>
  <r>
    <x v="136"/>
    <x v="135"/>
    <x v="0"/>
    <d v="2024-07-11T00:00:00"/>
    <x v="1"/>
    <n v="15"/>
    <x v="2"/>
    <x v="0"/>
    <x v="0"/>
    <x v="0"/>
    <x v="0"/>
    <n v="7"/>
    <x v="12"/>
  </r>
  <r>
    <x v="137"/>
    <x v="136"/>
    <x v="2"/>
    <d v="2024-07-12T00:00:00"/>
    <x v="0"/>
    <n v="10"/>
    <x v="1"/>
    <x v="1"/>
    <x v="1"/>
    <x v="0"/>
    <x v="0"/>
    <n v="10"/>
    <x v="2"/>
  </r>
  <r>
    <x v="138"/>
    <x v="137"/>
    <x v="1"/>
    <d v="2024-07-13T00:00:00"/>
    <x v="1"/>
    <n v="5"/>
    <x v="2"/>
    <x v="1"/>
    <x v="1"/>
    <x v="1"/>
    <x v="1"/>
    <n v="1"/>
    <x v="4"/>
  </r>
  <r>
    <x v="139"/>
    <x v="138"/>
    <x v="0"/>
    <d v="2024-07-14T00:00:00"/>
    <x v="0"/>
    <n v="15"/>
    <x v="0"/>
    <x v="0"/>
    <x v="0"/>
    <x v="0"/>
    <x v="0"/>
    <n v="15"/>
    <x v="14"/>
  </r>
  <r>
    <x v="140"/>
    <x v="139"/>
    <x v="2"/>
    <d v="2024-07-15T00:00:00"/>
    <x v="1"/>
    <n v="10"/>
    <x v="0"/>
    <x v="1"/>
    <x v="1"/>
    <x v="0"/>
    <x v="0"/>
    <n v="5"/>
    <x v="13"/>
  </r>
  <r>
    <x v="141"/>
    <x v="140"/>
    <x v="1"/>
    <d v="2024-07-16T00:00:00"/>
    <x v="0"/>
    <n v="5"/>
    <x v="1"/>
    <x v="1"/>
    <x v="1"/>
    <x v="1"/>
    <x v="1"/>
    <n v="0"/>
    <x v="1"/>
  </r>
  <r>
    <x v="142"/>
    <x v="141"/>
    <x v="0"/>
    <d v="2024-07-17T00:00:00"/>
    <x v="1"/>
    <n v="15"/>
    <x v="2"/>
    <x v="0"/>
    <x v="0"/>
    <x v="0"/>
    <x v="0"/>
    <n v="20"/>
    <x v="8"/>
  </r>
  <r>
    <x v="143"/>
    <x v="142"/>
    <x v="2"/>
    <d v="2024-07-18T00:00:00"/>
    <x v="0"/>
    <n v="10"/>
    <x v="2"/>
    <x v="1"/>
    <x v="1"/>
    <x v="0"/>
    <x v="0"/>
    <n v="12"/>
    <x v="10"/>
  </r>
  <r>
    <x v="144"/>
    <x v="143"/>
    <x v="1"/>
    <d v="2024-07-19T00:00:00"/>
    <x v="1"/>
    <n v="5"/>
    <x v="0"/>
    <x v="1"/>
    <x v="1"/>
    <x v="1"/>
    <x v="1"/>
    <n v="2"/>
    <x v="11"/>
  </r>
  <r>
    <x v="145"/>
    <x v="144"/>
    <x v="0"/>
    <d v="2024-07-20T00:00:00"/>
    <x v="0"/>
    <n v="15"/>
    <x v="1"/>
    <x v="0"/>
    <x v="0"/>
    <x v="0"/>
    <x v="0"/>
    <n v="5"/>
    <x v="0"/>
  </r>
  <r>
    <x v="146"/>
    <x v="145"/>
    <x v="2"/>
    <d v="2024-07-21T00:00:00"/>
    <x v="1"/>
    <n v="10"/>
    <x v="0"/>
    <x v="1"/>
    <x v="1"/>
    <x v="0"/>
    <x v="0"/>
    <n v="10"/>
    <x v="2"/>
  </r>
  <r>
    <x v="147"/>
    <x v="146"/>
    <x v="1"/>
    <d v="2024-07-22T00:00:00"/>
    <x v="0"/>
    <n v="5"/>
    <x v="2"/>
    <x v="1"/>
    <x v="1"/>
    <x v="1"/>
    <x v="1"/>
    <n v="0"/>
    <x v="1"/>
  </r>
  <r>
    <x v="148"/>
    <x v="147"/>
    <x v="0"/>
    <d v="2024-07-23T00:00:00"/>
    <x v="1"/>
    <n v="15"/>
    <x v="0"/>
    <x v="0"/>
    <x v="0"/>
    <x v="0"/>
    <x v="0"/>
    <n v="3"/>
    <x v="3"/>
  </r>
  <r>
    <x v="149"/>
    <x v="148"/>
    <x v="2"/>
    <d v="2024-07-24T00:00:00"/>
    <x v="0"/>
    <n v="10"/>
    <x v="1"/>
    <x v="1"/>
    <x v="1"/>
    <x v="0"/>
    <x v="0"/>
    <n v="15"/>
    <x v="7"/>
  </r>
  <r>
    <x v="150"/>
    <x v="149"/>
    <x v="1"/>
    <d v="2024-07-25T00:00:00"/>
    <x v="1"/>
    <n v="5"/>
    <x v="0"/>
    <x v="1"/>
    <x v="1"/>
    <x v="1"/>
    <x v="1"/>
    <n v="1"/>
    <x v="4"/>
  </r>
  <r>
    <x v="151"/>
    <x v="150"/>
    <x v="0"/>
    <d v="2024-07-26T00:00:00"/>
    <x v="0"/>
    <n v="15"/>
    <x v="2"/>
    <x v="0"/>
    <x v="0"/>
    <x v="0"/>
    <x v="0"/>
    <n v="7"/>
    <x v="12"/>
  </r>
  <r>
    <x v="152"/>
    <x v="151"/>
    <x v="2"/>
    <d v="2024-07-27T00:00:00"/>
    <x v="1"/>
    <n v="10"/>
    <x v="0"/>
    <x v="1"/>
    <x v="1"/>
    <x v="0"/>
    <x v="0"/>
    <n v="10"/>
    <x v="2"/>
  </r>
  <r>
    <x v="153"/>
    <x v="152"/>
    <x v="1"/>
    <d v="2024-07-28T00:00:00"/>
    <x v="0"/>
    <n v="5"/>
    <x v="1"/>
    <x v="1"/>
    <x v="1"/>
    <x v="1"/>
    <x v="1"/>
    <n v="0"/>
    <x v="1"/>
  </r>
  <r>
    <x v="154"/>
    <x v="153"/>
    <x v="0"/>
    <d v="2024-07-29T00:00:00"/>
    <x v="1"/>
    <n v="15"/>
    <x v="0"/>
    <x v="0"/>
    <x v="0"/>
    <x v="0"/>
    <x v="0"/>
    <n v="20"/>
    <x v="8"/>
  </r>
  <r>
    <x v="155"/>
    <x v="154"/>
    <x v="2"/>
    <d v="2024-07-30T00:00:00"/>
    <x v="0"/>
    <n v="10"/>
    <x v="2"/>
    <x v="1"/>
    <x v="1"/>
    <x v="0"/>
    <x v="0"/>
    <n v="15"/>
    <x v="7"/>
  </r>
  <r>
    <x v="156"/>
    <x v="155"/>
    <x v="1"/>
    <d v="2024-07-31T00:00:00"/>
    <x v="1"/>
    <n v="5"/>
    <x v="0"/>
    <x v="1"/>
    <x v="1"/>
    <x v="1"/>
    <x v="1"/>
    <n v="1"/>
    <x v="4"/>
  </r>
  <r>
    <x v="157"/>
    <x v="156"/>
    <x v="0"/>
    <d v="2024-08-01T00:00:00"/>
    <x v="0"/>
    <n v="15"/>
    <x v="1"/>
    <x v="0"/>
    <x v="0"/>
    <x v="0"/>
    <x v="0"/>
    <n v="3"/>
    <x v="3"/>
  </r>
  <r>
    <x v="158"/>
    <x v="157"/>
    <x v="2"/>
    <d v="2024-08-02T00:00:00"/>
    <x v="1"/>
    <n v="10"/>
    <x v="0"/>
    <x v="1"/>
    <x v="1"/>
    <x v="0"/>
    <x v="0"/>
    <n v="10"/>
    <x v="2"/>
  </r>
  <r>
    <x v="159"/>
    <x v="158"/>
    <x v="1"/>
    <d v="2024-08-03T00:00:00"/>
    <x v="0"/>
    <n v="5"/>
    <x v="2"/>
    <x v="1"/>
    <x v="1"/>
    <x v="1"/>
    <x v="1"/>
    <n v="0"/>
    <x v="1"/>
  </r>
  <r>
    <x v="160"/>
    <x v="58"/>
    <x v="0"/>
    <d v="2024-08-04T00:00:00"/>
    <x v="1"/>
    <n v="15"/>
    <x v="0"/>
    <x v="0"/>
    <x v="0"/>
    <x v="0"/>
    <x v="0"/>
    <n v="15"/>
    <x v="14"/>
  </r>
  <r>
    <x v="161"/>
    <x v="159"/>
    <x v="2"/>
    <d v="2024-08-05T00:00:00"/>
    <x v="0"/>
    <n v="10"/>
    <x v="1"/>
    <x v="1"/>
    <x v="1"/>
    <x v="0"/>
    <x v="0"/>
    <n v="15"/>
    <x v="7"/>
  </r>
  <r>
    <x v="162"/>
    <x v="160"/>
    <x v="1"/>
    <d v="2024-08-06T00:00:00"/>
    <x v="1"/>
    <n v="5"/>
    <x v="0"/>
    <x v="1"/>
    <x v="1"/>
    <x v="1"/>
    <x v="1"/>
    <n v="1"/>
    <x v="4"/>
  </r>
  <r>
    <x v="163"/>
    <x v="161"/>
    <x v="0"/>
    <d v="2024-08-07T00:00:00"/>
    <x v="0"/>
    <n v="15"/>
    <x v="2"/>
    <x v="0"/>
    <x v="0"/>
    <x v="0"/>
    <x v="0"/>
    <n v="7"/>
    <x v="12"/>
  </r>
  <r>
    <x v="164"/>
    <x v="162"/>
    <x v="2"/>
    <d v="2024-08-08T00:00:00"/>
    <x v="1"/>
    <n v="10"/>
    <x v="0"/>
    <x v="1"/>
    <x v="1"/>
    <x v="0"/>
    <x v="0"/>
    <n v="10"/>
    <x v="2"/>
  </r>
  <r>
    <x v="165"/>
    <x v="163"/>
    <x v="1"/>
    <d v="2024-08-09T00:00:00"/>
    <x v="0"/>
    <n v="5"/>
    <x v="1"/>
    <x v="1"/>
    <x v="1"/>
    <x v="1"/>
    <x v="1"/>
    <n v="0"/>
    <x v="1"/>
  </r>
  <r>
    <x v="166"/>
    <x v="90"/>
    <x v="0"/>
    <d v="2024-08-10T00:00:00"/>
    <x v="1"/>
    <n v="15"/>
    <x v="0"/>
    <x v="0"/>
    <x v="0"/>
    <x v="0"/>
    <x v="0"/>
    <n v="20"/>
    <x v="8"/>
  </r>
  <r>
    <x v="167"/>
    <x v="164"/>
    <x v="2"/>
    <d v="2024-08-11T00:00:00"/>
    <x v="0"/>
    <n v="10"/>
    <x v="2"/>
    <x v="1"/>
    <x v="1"/>
    <x v="0"/>
    <x v="0"/>
    <n v="15"/>
    <x v="7"/>
  </r>
  <r>
    <x v="168"/>
    <x v="165"/>
    <x v="1"/>
    <d v="2024-08-12T00:00:00"/>
    <x v="1"/>
    <n v="5"/>
    <x v="0"/>
    <x v="1"/>
    <x v="1"/>
    <x v="1"/>
    <x v="1"/>
    <n v="1"/>
    <x v="4"/>
  </r>
  <r>
    <x v="169"/>
    <x v="166"/>
    <x v="0"/>
    <d v="2024-08-13T00:00:00"/>
    <x v="0"/>
    <n v="15"/>
    <x v="1"/>
    <x v="0"/>
    <x v="0"/>
    <x v="0"/>
    <x v="0"/>
    <n v="5"/>
    <x v="0"/>
  </r>
  <r>
    <x v="170"/>
    <x v="167"/>
    <x v="2"/>
    <d v="2024-08-14T00:00:00"/>
    <x v="1"/>
    <n v="10"/>
    <x v="0"/>
    <x v="1"/>
    <x v="1"/>
    <x v="0"/>
    <x v="0"/>
    <n v="10"/>
    <x v="2"/>
  </r>
  <r>
    <x v="171"/>
    <x v="168"/>
    <x v="1"/>
    <d v="2024-08-15T00:00:00"/>
    <x v="0"/>
    <n v="5"/>
    <x v="2"/>
    <x v="1"/>
    <x v="1"/>
    <x v="1"/>
    <x v="1"/>
    <n v="0"/>
    <x v="1"/>
  </r>
  <r>
    <x v="172"/>
    <x v="169"/>
    <x v="0"/>
    <d v="2024-08-16T00:00:00"/>
    <x v="1"/>
    <n v="15"/>
    <x v="0"/>
    <x v="0"/>
    <x v="0"/>
    <x v="0"/>
    <x v="0"/>
    <n v="3"/>
    <x v="3"/>
  </r>
  <r>
    <x v="173"/>
    <x v="170"/>
    <x v="2"/>
    <d v="2024-08-17T00:00:00"/>
    <x v="0"/>
    <n v="10"/>
    <x v="1"/>
    <x v="1"/>
    <x v="1"/>
    <x v="0"/>
    <x v="0"/>
    <n v="15"/>
    <x v="7"/>
  </r>
  <r>
    <x v="174"/>
    <x v="171"/>
    <x v="1"/>
    <d v="2024-08-18T00:00:00"/>
    <x v="1"/>
    <n v="5"/>
    <x v="0"/>
    <x v="1"/>
    <x v="1"/>
    <x v="1"/>
    <x v="1"/>
    <n v="1"/>
    <x v="4"/>
  </r>
  <r>
    <x v="175"/>
    <x v="172"/>
    <x v="1"/>
    <d v="2024-08-19T00:00:00"/>
    <x v="0"/>
    <n v="5"/>
    <x v="0"/>
    <x v="1"/>
    <x v="1"/>
    <x v="1"/>
    <x v="1"/>
    <n v="0"/>
    <x v="1"/>
  </r>
  <r>
    <x v="176"/>
    <x v="173"/>
    <x v="0"/>
    <d v="2024-08-20T00:00:00"/>
    <x v="1"/>
    <n v="15"/>
    <x v="2"/>
    <x v="0"/>
    <x v="0"/>
    <x v="0"/>
    <x v="0"/>
    <n v="7"/>
    <x v="12"/>
  </r>
  <r>
    <x v="177"/>
    <x v="174"/>
    <x v="2"/>
    <d v="2024-08-21T00:00:00"/>
    <x v="0"/>
    <n v="10"/>
    <x v="1"/>
    <x v="1"/>
    <x v="1"/>
    <x v="0"/>
    <x v="0"/>
    <n v="10"/>
    <x v="2"/>
  </r>
  <r>
    <x v="178"/>
    <x v="175"/>
    <x v="1"/>
    <d v="2024-08-22T00:00:00"/>
    <x v="1"/>
    <n v="5"/>
    <x v="2"/>
    <x v="1"/>
    <x v="1"/>
    <x v="1"/>
    <x v="1"/>
    <n v="1"/>
    <x v="4"/>
  </r>
  <r>
    <x v="179"/>
    <x v="176"/>
    <x v="0"/>
    <d v="2024-08-23T00:00:00"/>
    <x v="0"/>
    <n v="15"/>
    <x v="0"/>
    <x v="0"/>
    <x v="0"/>
    <x v="0"/>
    <x v="0"/>
    <n v="15"/>
    <x v="14"/>
  </r>
  <r>
    <x v="180"/>
    <x v="177"/>
    <x v="2"/>
    <d v="2024-08-24T00:00:00"/>
    <x v="1"/>
    <n v="10"/>
    <x v="0"/>
    <x v="1"/>
    <x v="1"/>
    <x v="0"/>
    <x v="0"/>
    <n v="5"/>
    <x v="13"/>
  </r>
  <r>
    <x v="181"/>
    <x v="178"/>
    <x v="1"/>
    <d v="2024-08-25T00:00:00"/>
    <x v="0"/>
    <n v="5"/>
    <x v="1"/>
    <x v="1"/>
    <x v="1"/>
    <x v="1"/>
    <x v="1"/>
    <n v="0"/>
    <x v="1"/>
  </r>
  <r>
    <x v="182"/>
    <x v="179"/>
    <x v="0"/>
    <d v="2024-08-26T00:00:00"/>
    <x v="1"/>
    <n v="15"/>
    <x v="2"/>
    <x v="0"/>
    <x v="0"/>
    <x v="0"/>
    <x v="0"/>
    <n v="20"/>
    <x v="8"/>
  </r>
  <r>
    <x v="183"/>
    <x v="180"/>
    <x v="2"/>
    <d v="2024-08-27T00:00:00"/>
    <x v="0"/>
    <n v="10"/>
    <x v="2"/>
    <x v="1"/>
    <x v="1"/>
    <x v="0"/>
    <x v="0"/>
    <n v="12"/>
    <x v="10"/>
  </r>
  <r>
    <x v="184"/>
    <x v="181"/>
    <x v="1"/>
    <d v="2024-08-28T00:00:00"/>
    <x v="1"/>
    <n v="5"/>
    <x v="0"/>
    <x v="1"/>
    <x v="1"/>
    <x v="1"/>
    <x v="1"/>
    <n v="2"/>
    <x v="11"/>
  </r>
  <r>
    <x v="185"/>
    <x v="182"/>
    <x v="0"/>
    <d v="2024-08-29T00:00:00"/>
    <x v="0"/>
    <n v="15"/>
    <x v="1"/>
    <x v="0"/>
    <x v="0"/>
    <x v="0"/>
    <x v="0"/>
    <n v="5"/>
    <x v="0"/>
  </r>
  <r>
    <x v="186"/>
    <x v="183"/>
    <x v="2"/>
    <d v="2024-08-30T00:00:00"/>
    <x v="1"/>
    <n v="10"/>
    <x v="0"/>
    <x v="1"/>
    <x v="1"/>
    <x v="0"/>
    <x v="0"/>
    <n v="10"/>
    <x v="2"/>
  </r>
  <r>
    <x v="187"/>
    <x v="184"/>
    <x v="1"/>
    <d v="2024-08-31T00:00:00"/>
    <x v="0"/>
    <n v="5"/>
    <x v="2"/>
    <x v="1"/>
    <x v="1"/>
    <x v="1"/>
    <x v="1"/>
    <n v="0"/>
    <x v="1"/>
  </r>
  <r>
    <x v="188"/>
    <x v="185"/>
    <x v="0"/>
    <d v="2024-09-01T00:00:00"/>
    <x v="1"/>
    <n v="15"/>
    <x v="0"/>
    <x v="0"/>
    <x v="0"/>
    <x v="0"/>
    <x v="0"/>
    <n v="3"/>
    <x v="3"/>
  </r>
  <r>
    <x v="189"/>
    <x v="186"/>
    <x v="2"/>
    <d v="2024-09-02T00:00:00"/>
    <x v="0"/>
    <n v="10"/>
    <x v="1"/>
    <x v="1"/>
    <x v="1"/>
    <x v="0"/>
    <x v="0"/>
    <n v="15"/>
    <x v="7"/>
  </r>
  <r>
    <x v="190"/>
    <x v="15"/>
    <x v="1"/>
    <d v="2024-09-03T00:00:00"/>
    <x v="1"/>
    <n v="5"/>
    <x v="0"/>
    <x v="1"/>
    <x v="1"/>
    <x v="1"/>
    <x v="1"/>
    <n v="1"/>
    <x v="4"/>
  </r>
  <r>
    <x v="191"/>
    <x v="187"/>
    <x v="0"/>
    <d v="2024-09-04T00:00:00"/>
    <x v="0"/>
    <n v="15"/>
    <x v="2"/>
    <x v="0"/>
    <x v="0"/>
    <x v="0"/>
    <x v="0"/>
    <n v="7"/>
    <x v="12"/>
  </r>
  <r>
    <x v="192"/>
    <x v="188"/>
    <x v="2"/>
    <d v="2024-09-05T00:00:00"/>
    <x v="1"/>
    <n v="10"/>
    <x v="0"/>
    <x v="1"/>
    <x v="1"/>
    <x v="0"/>
    <x v="0"/>
    <n v="10"/>
    <x v="2"/>
  </r>
  <r>
    <x v="193"/>
    <x v="14"/>
    <x v="1"/>
    <d v="2024-09-06T00:00:00"/>
    <x v="0"/>
    <n v="5"/>
    <x v="1"/>
    <x v="1"/>
    <x v="1"/>
    <x v="1"/>
    <x v="1"/>
    <n v="0"/>
    <x v="1"/>
  </r>
  <r>
    <x v="194"/>
    <x v="189"/>
    <x v="0"/>
    <d v="2024-09-07T00:00:00"/>
    <x v="1"/>
    <n v="15"/>
    <x v="0"/>
    <x v="0"/>
    <x v="0"/>
    <x v="0"/>
    <x v="0"/>
    <n v="20"/>
    <x v="8"/>
  </r>
  <r>
    <x v="195"/>
    <x v="167"/>
    <x v="2"/>
    <d v="2024-09-08T00:00:00"/>
    <x v="0"/>
    <n v="10"/>
    <x v="2"/>
    <x v="1"/>
    <x v="1"/>
    <x v="0"/>
    <x v="0"/>
    <n v="15"/>
    <x v="7"/>
  </r>
  <r>
    <x v="196"/>
    <x v="190"/>
    <x v="1"/>
    <d v="2024-09-09T00:00:00"/>
    <x v="1"/>
    <n v="5"/>
    <x v="0"/>
    <x v="1"/>
    <x v="1"/>
    <x v="1"/>
    <x v="1"/>
    <n v="1"/>
    <x v="4"/>
  </r>
  <r>
    <x v="197"/>
    <x v="191"/>
    <x v="0"/>
    <d v="2024-09-10T00:00:00"/>
    <x v="0"/>
    <n v="15"/>
    <x v="1"/>
    <x v="0"/>
    <x v="0"/>
    <x v="0"/>
    <x v="0"/>
    <n v="3"/>
    <x v="3"/>
  </r>
  <r>
    <x v="198"/>
    <x v="192"/>
    <x v="2"/>
    <d v="2024-09-11T00:00:00"/>
    <x v="1"/>
    <n v="10"/>
    <x v="0"/>
    <x v="1"/>
    <x v="1"/>
    <x v="0"/>
    <x v="0"/>
    <n v="10"/>
    <x v="2"/>
  </r>
  <r>
    <x v="199"/>
    <x v="193"/>
    <x v="1"/>
    <d v="2024-09-12T00:00:00"/>
    <x v="0"/>
    <n v="5"/>
    <x v="2"/>
    <x v="1"/>
    <x v="1"/>
    <x v="1"/>
    <x v="1"/>
    <n v="0"/>
    <x v="1"/>
  </r>
  <r>
    <x v="200"/>
    <x v="194"/>
    <x v="0"/>
    <d v="2024-09-13T00:00:00"/>
    <x v="1"/>
    <n v="15"/>
    <x v="0"/>
    <x v="0"/>
    <x v="0"/>
    <x v="0"/>
    <x v="0"/>
    <n v="15"/>
    <x v="14"/>
  </r>
  <r>
    <x v="201"/>
    <x v="195"/>
    <x v="2"/>
    <d v="2024-09-14T00:00:00"/>
    <x v="0"/>
    <n v="10"/>
    <x v="1"/>
    <x v="1"/>
    <x v="1"/>
    <x v="0"/>
    <x v="0"/>
    <n v="15"/>
    <x v="7"/>
  </r>
  <r>
    <x v="202"/>
    <x v="196"/>
    <x v="1"/>
    <d v="2024-09-15T00:00:00"/>
    <x v="1"/>
    <n v="5"/>
    <x v="0"/>
    <x v="1"/>
    <x v="1"/>
    <x v="1"/>
    <x v="1"/>
    <n v="1"/>
    <x v="4"/>
  </r>
  <r>
    <x v="203"/>
    <x v="197"/>
    <x v="0"/>
    <d v="2024-09-16T00:00:00"/>
    <x v="0"/>
    <n v="15"/>
    <x v="2"/>
    <x v="0"/>
    <x v="0"/>
    <x v="0"/>
    <x v="0"/>
    <n v="7"/>
    <x v="12"/>
  </r>
  <r>
    <x v="204"/>
    <x v="198"/>
    <x v="2"/>
    <d v="2024-09-17T00:00:00"/>
    <x v="1"/>
    <n v="10"/>
    <x v="0"/>
    <x v="1"/>
    <x v="1"/>
    <x v="0"/>
    <x v="0"/>
    <n v="10"/>
    <x v="2"/>
  </r>
  <r>
    <x v="205"/>
    <x v="199"/>
    <x v="1"/>
    <d v="2024-09-18T00:00:00"/>
    <x v="0"/>
    <n v="5"/>
    <x v="0"/>
    <x v="1"/>
    <x v="1"/>
    <x v="1"/>
    <x v="1"/>
    <n v="0"/>
    <x v="1"/>
  </r>
  <r>
    <x v="206"/>
    <x v="200"/>
    <x v="0"/>
    <d v="2024-09-19T00:00:00"/>
    <x v="1"/>
    <n v="15"/>
    <x v="2"/>
    <x v="0"/>
    <x v="0"/>
    <x v="0"/>
    <x v="0"/>
    <n v="7"/>
    <x v="12"/>
  </r>
  <r>
    <x v="207"/>
    <x v="201"/>
    <x v="2"/>
    <d v="2024-09-20T00:00:00"/>
    <x v="0"/>
    <n v="10"/>
    <x v="1"/>
    <x v="1"/>
    <x v="1"/>
    <x v="0"/>
    <x v="0"/>
    <n v="10"/>
    <x v="2"/>
  </r>
  <r>
    <x v="208"/>
    <x v="202"/>
    <x v="1"/>
    <d v="2024-09-21T00:00:00"/>
    <x v="1"/>
    <n v="5"/>
    <x v="2"/>
    <x v="1"/>
    <x v="1"/>
    <x v="1"/>
    <x v="1"/>
    <n v="1"/>
    <x v="4"/>
  </r>
  <r>
    <x v="209"/>
    <x v="203"/>
    <x v="0"/>
    <d v="2024-09-22T00:00:00"/>
    <x v="0"/>
    <n v="15"/>
    <x v="0"/>
    <x v="0"/>
    <x v="0"/>
    <x v="0"/>
    <x v="0"/>
    <n v="15"/>
    <x v="14"/>
  </r>
  <r>
    <x v="210"/>
    <x v="204"/>
    <x v="2"/>
    <d v="2024-09-23T00:00:00"/>
    <x v="1"/>
    <n v="10"/>
    <x v="0"/>
    <x v="1"/>
    <x v="1"/>
    <x v="0"/>
    <x v="0"/>
    <n v="5"/>
    <x v="13"/>
  </r>
  <r>
    <x v="211"/>
    <x v="205"/>
    <x v="1"/>
    <d v="2024-09-24T00:00:00"/>
    <x v="0"/>
    <n v="5"/>
    <x v="1"/>
    <x v="1"/>
    <x v="1"/>
    <x v="1"/>
    <x v="1"/>
    <n v="0"/>
    <x v="1"/>
  </r>
  <r>
    <x v="212"/>
    <x v="206"/>
    <x v="0"/>
    <d v="2024-09-25T00:00:00"/>
    <x v="1"/>
    <n v="15"/>
    <x v="2"/>
    <x v="0"/>
    <x v="0"/>
    <x v="0"/>
    <x v="0"/>
    <n v="20"/>
    <x v="8"/>
  </r>
  <r>
    <x v="213"/>
    <x v="207"/>
    <x v="2"/>
    <d v="2024-09-26T00:00:00"/>
    <x v="0"/>
    <n v="10"/>
    <x v="2"/>
    <x v="1"/>
    <x v="1"/>
    <x v="0"/>
    <x v="0"/>
    <n v="12"/>
    <x v="10"/>
  </r>
  <r>
    <x v="214"/>
    <x v="37"/>
    <x v="1"/>
    <d v="2024-09-27T00:00:00"/>
    <x v="1"/>
    <n v="5"/>
    <x v="0"/>
    <x v="1"/>
    <x v="1"/>
    <x v="1"/>
    <x v="1"/>
    <n v="2"/>
    <x v="11"/>
  </r>
  <r>
    <x v="215"/>
    <x v="208"/>
    <x v="0"/>
    <d v="2024-09-28T00:00:00"/>
    <x v="0"/>
    <n v="15"/>
    <x v="1"/>
    <x v="0"/>
    <x v="0"/>
    <x v="0"/>
    <x v="0"/>
    <n v="5"/>
    <x v="0"/>
  </r>
  <r>
    <x v="216"/>
    <x v="209"/>
    <x v="2"/>
    <d v="2024-09-29T00:00:00"/>
    <x v="1"/>
    <n v="10"/>
    <x v="0"/>
    <x v="1"/>
    <x v="1"/>
    <x v="0"/>
    <x v="0"/>
    <n v="10"/>
    <x v="2"/>
  </r>
  <r>
    <x v="217"/>
    <x v="210"/>
    <x v="1"/>
    <d v="2024-09-30T00:00:00"/>
    <x v="0"/>
    <n v="5"/>
    <x v="2"/>
    <x v="1"/>
    <x v="1"/>
    <x v="1"/>
    <x v="1"/>
    <n v="0"/>
    <x v="1"/>
  </r>
  <r>
    <x v="218"/>
    <x v="211"/>
    <x v="0"/>
    <d v="2024-10-01T00:00:00"/>
    <x v="1"/>
    <n v="15"/>
    <x v="0"/>
    <x v="0"/>
    <x v="0"/>
    <x v="0"/>
    <x v="0"/>
    <n v="3"/>
    <x v="3"/>
  </r>
  <r>
    <x v="219"/>
    <x v="212"/>
    <x v="2"/>
    <d v="2024-10-02T00:00:00"/>
    <x v="0"/>
    <n v="10"/>
    <x v="1"/>
    <x v="1"/>
    <x v="1"/>
    <x v="0"/>
    <x v="0"/>
    <n v="15"/>
    <x v="7"/>
  </r>
  <r>
    <x v="220"/>
    <x v="213"/>
    <x v="1"/>
    <d v="2024-10-03T00:00:00"/>
    <x v="1"/>
    <n v="5"/>
    <x v="0"/>
    <x v="1"/>
    <x v="1"/>
    <x v="1"/>
    <x v="1"/>
    <n v="1"/>
    <x v="4"/>
  </r>
  <r>
    <x v="221"/>
    <x v="191"/>
    <x v="0"/>
    <d v="2024-10-04T00:00:00"/>
    <x v="0"/>
    <n v="15"/>
    <x v="2"/>
    <x v="0"/>
    <x v="0"/>
    <x v="0"/>
    <x v="0"/>
    <n v="7"/>
    <x v="12"/>
  </r>
  <r>
    <x v="222"/>
    <x v="45"/>
    <x v="2"/>
    <d v="2024-10-05T00:00:00"/>
    <x v="1"/>
    <n v="10"/>
    <x v="0"/>
    <x v="1"/>
    <x v="1"/>
    <x v="0"/>
    <x v="0"/>
    <n v="10"/>
    <x v="2"/>
  </r>
  <r>
    <x v="223"/>
    <x v="214"/>
    <x v="1"/>
    <d v="2024-10-06T00:00:00"/>
    <x v="0"/>
    <n v="5"/>
    <x v="1"/>
    <x v="1"/>
    <x v="1"/>
    <x v="1"/>
    <x v="1"/>
    <n v="0"/>
    <x v="1"/>
  </r>
  <r>
    <x v="224"/>
    <x v="215"/>
    <x v="0"/>
    <d v="2024-10-07T00:00:00"/>
    <x v="1"/>
    <n v="15"/>
    <x v="0"/>
    <x v="0"/>
    <x v="0"/>
    <x v="0"/>
    <x v="0"/>
    <n v="20"/>
    <x v="8"/>
  </r>
  <r>
    <x v="225"/>
    <x v="216"/>
    <x v="2"/>
    <d v="2024-10-08T00:00:00"/>
    <x v="0"/>
    <n v="10"/>
    <x v="2"/>
    <x v="1"/>
    <x v="1"/>
    <x v="0"/>
    <x v="0"/>
    <n v="15"/>
    <x v="7"/>
  </r>
  <r>
    <x v="226"/>
    <x v="217"/>
    <x v="1"/>
    <d v="2024-10-09T00:00:00"/>
    <x v="1"/>
    <n v="5"/>
    <x v="0"/>
    <x v="1"/>
    <x v="1"/>
    <x v="1"/>
    <x v="1"/>
    <n v="1"/>
    <x v="4"/>
  </r>
  <r>
    <x v="227"/>
    <x v="218"/>
    <x v="0"/>
    <d v="2024-10-10T00:00:00"/>
    <x v="0"/>
    <n v="15"/>
    <x v="1"/>
    <x v="0"/>
    <x v="0"/>
    <x v="0"/>
    <x v="0"/>
    <n v="3"/>
    <x v="3"/>
  </r>
  <r>
    <x v="228"/>
    <x v="219"/>
    <x v="2"/>
    <d v="2024-10-11T00:00:00"/>
    <x v="1"/>
    <n v="10"/>
    <x v="0"/>
    <x v="1"/>
    <x v="1"/>
    <x v="0"/>
    <x v="0"/>
    <n v="10"/>
    <x v="2"/>
  </r>
  <r>
    <x v="229"/>
    <x v="127"/>
    <x v="1"/>
    <d v="2024-10-12T00:00:00"/>
    <x v="0"/>
    <n v="5"/>
    <x v="2"/>
    <x v="1"/>
    <x v="1"/>
    <x v="1"/>
    <x v="1"/>
    <n v="0"/>
    <x v="1"/>
  </r>
  <r>
    <x v="230"/>
    <x v="220"/>
    <x v="0"/>
    <d v="2024-10-13T00:00:00"/>
    <x v="1"/>
    <n v="15"/>
    <x v="0"/>
    <x v="0"/>
    <x v="0"/>
    <x v="0"/>
    <x v="0"/>
    <n v="15"/>
    <x v="14"/>
  </r>
  <r>
    <x v="231"/>
    <x v="221"/>
    <x v="2"/>
    <d v="2024-10-14T00:00:00"/>
    <x v="0"/>
    <n v="10"/>
    <x v="1"/>
    <x v="1"/>
    <x v="1"/>
    <x v="0"/>
    <x v="0"/>
    <n v="15"/>
    <x v="7"/>
  </r>
  <r>
    <x v="232"/>
    <x v="222"/>
    <x v="1"/>
    <d v="2024-10-15T00:00:00"/>
    <x v="1"/>
    <n v="5"/>
    <x v="0"/>
    <x v="1"/>
    <x v="1"/>
    <x v="1"/>
    <x v="1"/>
    <n v="1"/>
    <x v="4"/>
  </r>
  <r>
    <x v="233"/>
    <x v="223"/>
    <x v="0"/>
    <d v="2024-10-16T00:00:00"/>
    <x v="0"/>
    <n v="15"/>
    <x v="2"/>
    <x v="0"/>
    <x v="0"/>
    <x v="0"/>
    <x v="0"/>
    <n v="7"/>
    <x v="12"/>
  </r>
  <r>
    <x v="234"/>
    <x v="224"/>
    <x v="2"/>
    <d v="2024-10-17T00:00:00"/>
    <x v="1"/>
    <n v="10"/>
    <x v="0"/>
    <x v="1"/>
    <x v="1"/>
    <x v="0"/>
    <x v="0"/>
    <n v="10"/>
    <x v="2"/>
  </r>
  <r>
    <x v="235"/>
    <x v="225"/>
    <x v="1"/>
    <d v="2024-10-18T00:00:00"/>
    <x v="0"/>
    <n v="5"/>
    <x v="1"/>
    <x v="1"/>
    <x v="1"/>
    <x v="1"/>
    <x v="1"/>
    <n v="0"/>
    <x v="1"/>
  </r>
  <r>
    <x v="236"/>
    <x v="226"/>
    <x v="0"/>
    <d v="2024-10-19T00:00:00"/>
    <x v="1"/>
    <n v="15"/>
    <x v="0"/>
    <x v="0"/>
    <x v="0"/>
    <x v="0"/>
    <x v="0"/>
    <n v="15"/>
    <x v="14"/>
  </r>
  <r>
    <x v="237"/>
    <x v="227"/>
    <x v="2"/>
    <d v="2024-10-20T00:00:00"/>
    <x v="0"/>
    <n v="10"/>
    <x v="2"/>
    <x v="1"/>
    <x v="1"/>
    <x v="0"/>
    <x v="0"/>
    <n v="12"/>
    <x v="10"/>
  </r>
  <r>
    <x v="238"/>
    <x v="228"/>
    <x v="1"/>
    <d v="2024-10-21T00:00:00"/>
    <x v="1"/>
    <n v="5"/>
    <x v="0"/>
    <x v="1"/>
    <x v="1"/>
    <x v="1"/>
    <x v="1"/>
    <n v="2"/>
    <x v="11"/>
  </r>
  <r>
    <x v="239"/>
    <x v="229"/>
    <x v="0"/>
    <d v="2024-10-22T00:00:00"/>
    <x v="0"/>
    <n v="15"/>
    <x v="1"/>
    <x v="0"/>
    <x v="0"/>
    <x v="0"/>
    <x v="0"/>
    <n v="5"/>
    <x v="0"/>
  </r>
  <r>
    <x v="240"/>
    <x v="230"/>
    <x v="2"/>
    <d v="2024-10-23T00:00:00"/>
    <x v="1"/>
    <n v="10"/>
    <x v="0"/>
    <x v="1"/>
    <x v="1"/>
    <x v="0"/>
    <x v="0"/>
    <n v="10"/>
    <x v="2"/>
  </r>
  <r>
    <x v="241"/>
    <x v="231"/>
    <x v="1"/>
    <d v="2024-10-24T00:00:00"/>
    <x v="0"/>
    <n v="5"/>
    <x v="2"/>
    <x v="1"/>
    <x v="1"/>
    <x v="1"/>
    <x v="1"/>
    <n v="0"/>
    <x v="1"/>
  </r>
  <r>
    <x v="242"/>
    <x v="140"/>
    <x v="0"/>
    <d v="2024-10-25T00:00:00"/>
    <x v="1"/>
    <n v="15"/>
    <x v="0"/>
    <x v="0"/>
    <x v="0"/>
    <x v="0"/>
    <x v="0"/>
    <n v="3"/>
    <x v="3"/>
  </r>
  <r>
    <x v="243"/>
    <x v="232"/>
    <x v="2"/>
    <d v="2024-10-26T00:00:00"/>
    <x v="0"/>
    <n v="10"/>
    <x v="1"/>
    <x v="1"/>
    <x v="1"/>
    <x v="0"/>
    <x v="0"/>
    <n v="15"/>
    <x v="7"/>
  </r>
  <r>
    <x v="244"/>
    <x v="233"/>
    <x v="1"/>
    <d v="2024-10-27T00:00:00"/>
    <x v="1"/>
    <n v="5"/>
    <x v="0"/>
    <x v="1"/>
    <x v="1"/>
    <x v="1"/>
    <x v="1"/>
    <n v="1"/>
    <x v="4"/>
  </r>
  <r>
    <x v="245"/>
    <x v="234"/>
    <x v="0"/>
    <d v="2024-10-28T00:00:00"/>
    <x v="0"/>
    <n v="15"/>
    <x v="2"/>
    <x v="0"/>
    <x v="0"/>
    <x v="0"/>
    <x v="0"/>
    <n v="7"/>
    <x v="12"/>
  </r>
  <r>
    <x v="246"/>
    <x v="235"/>
    <x v="2"/>
    <d v="2024-10-29T00:00:00"/>
    <x v="1"/>
    <n v="10"/>
    <x v="0"/>
    <x v="1"/>
    <x v="1"/>
    <x v="0"/>
    <x v="0"/>
    <n v="10"/>
    <x v="2"/>
  </r>
  <r>
    <x v="247"/>
    <x v="236"/>
    <x v="1"/>
    <d v="2024-10-30T00:00:00"/>
    <x v="0"/>
    <n v="5"/>
    <x v="1"/>
    <x v="1"/>
    <x v="1"/>
    <x v="1"/>
    <x v="1"/>
    <n v="0"/>
    <x v="1"/>
  </r>
  <r>
    <x v="248"/>
    <x v="237"/>
    <x v="0"/>
    <d v="2024-10-31T00:00:00"/>
    <x v="1"/>
    <n v="15"/>
    <x v="0"/>
    <x v="0"/>
    <x v="0"/>
    <x v="0"/>
    <x v="0"/>
    <n v="20"/>
    <x v="8"/>
  </r>
  <r>
    <x v="249"/>
    <x v="238"/>
    <x v="2"/>
    <d v="2024-11-01T00:00:00"/>
    <x v="0"/>
    <n v="10"/>
    <x v="2"/>
    <x v="1"/>
    <x v="1"/>
    <x v="0"/>
    <x v="0"/>
    <n v="15"/>
    <x v="7"/>
  </r>
  <r>
    <x v="250"/>
    <x v="239"/>
    <x v="1"/>
    <d v="2024-11-02T00:00:00"/>
    <x v="1"/>
    <n v="5"/>
    <x v="0"/>
    <x v="1"/>
    <x v="1"/>
    <x v="1"/>
    <x v="1"/>
    <n v="1"/>
    <x v="4"/>
  </r>
  <r>
    <x v="251"/>
    <x v="240"/>
    <x v="0"/>
    <d v="2024-11-03T00:00:00"/>
    <x v="0"/>
    <n v="15"/>
    <x v="1"/>
    <x v="0"/>
    <x v="0"/>
    <x v="0"/>
    <x v="0"/>
    <n v="3"/>
    <x v="3"/>
  </r>
  <r>
    <x v="252"/>
    <x v="241"/>
    <x v="2"/>
    <d v="2024-11-04T00:00:00"/>
    <x v="1"/>
    <n v="10"/>
    <x v="0"/>
    <x v="1"/>
    <x v="1"/>
    <x v="0"/>
    <x v="0"/>
    <n v="10"/>
    <x v="2"/>
  </r>
  <r>
    <x v="253"/>
    <x v="242"/>
    <x v="1"/>
    <d v="2024-11-05T00:00:00"/>
    <x v="0"/>
    <n v="5"/>
    <x v="2"/>
    <x v="1"/>
    <x v="1"/>
    <x v="1"/>
    <x v="1"/>
    <n v="0"/>
    <x v="1"/>
  </r>
  <r>
    <x v="254"/>
    <x v="243"/>
    <x v="0"/>
    <d v="2024-11-06T00:00:00"/>
    <x v="1"/>
    <n v="15"/>
    <x v="0"/>
    <x v="0"/>
    <x v="0"/>
    <x v="0"/>
    <x v="0"/>
    <n v="15"/>
    <x v="14"/>
  </r>
  <r>
    <x v="255"/>
    <x v="244"/>
    <x v="1"/>
    <d v="2024-11-07T00:00:00"/>
    <x v="0"/>
    <n v="5"/>
    <x v="0"/>
    <x v="1"/>
    <x v="1"/>
    <x v="1"/>
    <x v="1"/>
    <n v="0"/>
    <x v="1"/>
  </r>
  <r>
    <x v="256"/>
    <x v="245"/>
    <x v="0"/>
    <d v="2024-11-08T00:00:00"/>
    <x v="1"/>
    <n v="15"/>
    <x v="2"/>
    <x v="0"/>
    <x v="0"/>
    <x v="0"/>
    <x v="0"/>
    <n v="7"/>
    <x v="12"/>
  </r>
  <r>
    <x v="257"/>
    <x v="246"/>
    <x v="2"/>
    <d v="2024-11-09T00:00:00"/>
    <x v="0"/>
    <n v="10"/>
    <x v="1"/>
    <x v="1"/>
    <x v="1"/>
    <x v="0"/>
    <x v="0"/>
    <n v="10"/>
    <x v="2"/>
  </r>
  <r>
    <x v="258"/>
    <x v="247"/>
    <x v="1"/>
    <d v="2024-11-10T00:00:00"/>
    <x v="1"/>
    <n v="5"/>
    <x v="2"/>
    <x v="1"/>
    <x v="1"/>
    <x v="1"/>
    <x v="1"/>
    <n v="1"/>
    <x v="4"/>
  </r>
  <r>
    <x v="259"/>
    <x v="248"/>
    <x v="0"/>
    <d v="2024-11-11T00:00:00"/>
    <x v="0"/>
    <n v="15"/>
    <x v="0"/>
    <x v="0"/>
    <x v="0"/>
    <x v="0"/>
    <x v="0"/>
    <n v="15"/>
    <x v="14"/>
  </r>
  <r>
    <x v="260"/>
    <x v="249"/>
    <x v="2"/>
    <d v="2024-11-12T00:00:00"/>
    <x v="1"/>
    <n v="10"/>
    <x v="0"/>
    <x v="1"/>
    <x v="1"/>
    <x v="0"/>
    <x v="0"/>
    <n v="5"/>
    <x v="13"/>
  </r>
  <r>
    <x v="261"/>
    <x v="250"/>
    <x v="1"/>
    <d v="2024-11-13T00:00:00"/>
    <x v="0"/>
    <n v="5"/>
    <x v="1"/>
    <x v="1"/>
    <x v="1"/>
    <x v="1"/>
    <x v="1"/>
    <n v="0"/>
    <x v="1"/>
  </r>
  <r>
    <x v="262"/>
    <x v="251"/>
    <x v="0"/>
    <d v="2024-11-14T00:00:00"/>
    <x v="1"/>
    <n v="15"/>
    <x v="2"/>
    <x v="0"/>
    <x v="0"/>
    <x v="0"/>
    <x v="0"/>
    <n v="20"/>
    <x v="8"/>
  </r>
  <r>
    <x v="263"/>
    <x v="252"/>
    <x v="2"/>
    <d v="2024-11-15T00:00:00"/>
    <x v="0"/>
    <n v="10"/>
    <x v="2"/>
    <x v="1"/>
    <x v="1"/>
    <x v="0"/>
    <x v="0"/>
    <n v="12"/>
    <x v="10"/>
  </r>
  <r>
    <x v="264"/>
    <x v="253"/>
    <x v="1"/>
    <d v="2024-11-16T00:00:00"/>
    <x v="1"/>
    <n v="5"/>
    <x v="0"/>
    <x v="1"/>
    <x v="1"/>
    <x v="1"/>
    <x v="1"/>
    <n v="2"/>
    <x v="11"/>
  </r>
  <r>
    <x v="265"/>
    <x v="254"/>
    <x v="0"/>
    <d v="2024-11-17T00:00:00"/>
    <x v="0"/>
    <n v="15"/>
    <x v="1"/>
    <x v="0"/>
    <x v="0"/>
    <x v="0"/>
    <x v="0"/>
    <n v="5"/>
    <x v="0"/>
  </r>
  <r>
    <x v="266"/>
    <x v="255"/>
    <x v="2"/>
    <d v="2024-11-18T00:00:00"/>
    <x v="1"/>
    <n v="10"/>
    <x v="0"/>
    <x v="1"/>
    <x v="1"/>
    <x v="0"/>
    <x v="0"/>
    <n v="10"/>
    <x v="2"/>
  </r>
  <r>
    <x v="267"/>
    <x v="256"/>
    <x v="1"/>
    <d v="2024-11-19T00:00:00"/>
    <x v="0"/>
    <n v="5"/>
    <x v="2"/>
    <x v="1"/>
    <x v="1"/>
    <x v="1"/>
    <x v="1"/>
    <n v="0"/>
    <x v="1"/>
  </r>
  <r>
    <x v="268"/>
    <x v="257"/>
    <x v="0"/>
    <d v="2024-11-20T00:00:00"/>
    <x v="1"/>
    <n v="15"/>
    <x v="0"/>
    <x v="0"/>
    <x v="0"/>
    <x v="0"/>
    <x v="0"/>
    <n v="3"/>
    <x v="3"/>
  </r>
  <r>
    <x v="269"/>
    <x v="258"/>
    <x v="2"/>
    <d v="2024-11-21T00:00:00"/>
    <x v="0"/>
    <n v="10"/>
    <x v="1"/>
    <x v="1"/>
    <x v="1"/>
    <x v="0"/>
    <x v="0"/>
    <n v="15"/>
    <x v="7"/>
  </r>
  <r>
    <x v="270"/>
    <x v="259"/>
    <x v="1"/>
    <d v="2024-11-22T00:00:00"/>
    <x v="1"/>
    <n v="5"/>
    <x v="0"/>
    <x v="1"/>
    <x v="1"/>
    <x v="1"/>
    <x v="1"/>
    <n v="1"/>
    <x v="4"/>
  </r>
  <r>
    <x v="271"/>
    <x v="260"/>
    <x v="0"/>
    <d v="2024-11-23T00:00:00"/>
    <x v="0"/>
    <n v="15"/>
    <x v="2"/>
    <x v="0"/>
    <x v="0"/>
    <x v="0"/>
    <x v="0"/>
    <n v="7"/>
    <x v="12"/>
  </r>
  <r>
    <x v="272"/>
    <x v="119"/>
    <x v="2"/>
    <d v="2024-11-24T00:00:00"/>
    <x v="1"/>
    <n v="10"/>
    <x v="0"/>
    <x v="1"/>
    <x v="1"/>
    <x v="0"/>
    <x v="0"/>
    <n v="10"/>
    <x v="2"/>
  </r>
  <r>
    <x v="273"/>
    <x v="261"/>
    <x v="1"/>
    <d v="2024-11-25T00:00:00"/>
    <x v="0"/>
    <n v="5"/>
    <x v="1"/>
    <x v="1"/>
    <x v="1"/>
    <x v="1"/>
    <x v="1"/>
    <n v="0"/>
    <x v="1"/>
  </r>
  <r>
    <x v="274"/>
    <x v="262"/>
    <x v="0"/>
    <d v="2024-11-26T00:00:00"/>
    <x v="1"/>
    <n v="15"/>
    <x v="0"/>
    <x v="0"/>
    <x v="0"/>
    <x v="0"/>
    <x v="0"/>
    <n v="20"/>
    <x v="8"/>
  </r>
  <r>
    <x v="275"/>
    <x v="263"/>
    <x v="2"/>
    <d v="2024-11-27T00:00:00"/>
    <x v="0"/>
    <n v="10"/>
    <x v="2"/>
    <x v="1"/>
    <x v="1"/>
    <x v="0"/>
    <x v="0"/>
    <n v="15"/>
    <x v="7"/>
  </r>
  <r>
    <x v="276"/>
    <x v="264"/>
    <x v="1"/>
    <d v="2024-11-28T00:00:00"/>
    <x v="1"/>
    <n v="5"/>
    <x v="0"/>
    <x v="1"/>
    <x v="1"/>
    <x v="1"/>
    <x v="1"/>
    <n v="1"/>
    <x v="4"/>
  </r>
  <r>
    <x v="277"/>
    <x v="265"/>
    <x v="0"/>
    <d v="2024-11-29T00:00:00"/>
    <x v="0"/>
    <n v="15"/>
    <x v="1"/>
    <x v="0"/>
    <x v="0"/>
    <x v="0"/>
    <x v="0"/>
    <n v="3"/>
    <x v="3"/>
  </r>
  <r>
    <x v="278"/>
    <x v="266"/>
    <x v="2"/>
    <d v="2024-11-30T00:00:00"/>
    <x v="1"/>
    <n v="10"/>
    <x v="0"/>
    <x v="1"/>
    <x v="1"/>
    <x v="0"/>
    <x v="0"/>
    <n v="10"/>
    <x v="2"/>
  </r>
  <r>
    <x v="279"/>
    <x v="267"/>
    <x v="1"/>
    <d v="2024-12-01T00:00:00"/>
    <x v="0"/>
    <n v="5"/>
    <x v="2"/>
    <x v="1"/>
    <x v="1"/>
    <x v="1"/>
    <x v="1"/>
    <n v="0"/>
    <x v="1"/>
  </r>
  <r>
    <x v="280"/>
    <x v="268"/>
    <x v="0"/>
    <d v="2024-12-02T00:00:00"/>
    <x v="1"/>
    <n v="15"/>
    <x v="0"/>
    <x v="0"/>
    <x v="0"/>
    <x v="0"/>
    <x v="0"/>
    <n v="15"/>
    <x v="14"/>
  </r>
  <r>
    <x v="281"/>
    <x v="269"/>
    <x v="2"/>
    <d v="2024-12-03T00:00:00"/>
    <x v="0"/>
    <n v="10"/>
    <x v="1"/>
    <x v="1"/>
    <x v="1"/>
    <x v="0"/>
    <x v="0"/>
    <n v="15"/>
    <x v="7"/>
  </r>
  <r>
    <x v="282"/>
    <x v="270"/>
    <x v="1"/>
    <d v="2024-12-04T00:00:00"/>
    <x v="1"/>
    <n v="5"/>
    <x v="0"/>
    <x v="1"/>
    <x v="1"/>
    <x v="1"/>
    <x v="1"/>
    <n v="1"/>
    <x v="4"/>
  </r>
  <r>
    <x v="283"/>
    <x v="271"/>
    <x v="0"/>
    <d v="2024-12-05T00:00:00"/>
    <x v="0"/>
    <n v="15"/>
    <x v="2"/>
    <x v="0"/>
    <x v="0"/>
    <x v="0"/>
    <x v="0"/>
    <n v="7"/>
    <x v="12"/>
  </r>
  <r>
    <x v="284"/>
    <x v="130"/>
    <x v="2"/>
    <d v="2024-12-06T00:00:00"/>
    <x v="1"/>
    <n v="10"/>
    <x v="0"/>
    <x v="1"/>
    <x v="1"/>
    <x v="0"/>
    <x v="0"/>
    <n v="10"/>
    <x v="2"/>
  </r>
  <r>
    <x v="285"/>
    <x v="131"/>
    <x v="1"/>
    <d v="2024-12-07T00:00:00"/>
    <x v="0"/>
    <n v="5"/>
    <x v="1"/>
    <x v="1"/>
    <x v="1"/>
    <x v="1"/>
    <x v="1"/>
    <n v="0"/>
    <x v="1"/>
  </r>
  <r>
    <x v="286"/>
    <x v="181"/>
    <x v="0"/>
    <d v="2024-12-08T00:00:00"/>
    <x v="1"/>
    <n v="15"/>
    <x v="0"/>
    <x v="0"/>
    <x v="0"/>
    <x v="0"/>
    <x v="0"/>
    <n v="20"/>
    <x v="8"/>
  </r>
  <r>
    <x v="287"/>
    <x v="272"/>
    <x v="2"/>
    <d v="2024-12-09T00:00:00"/>
    <x v="0"/>
    <n v="10"/>
    <x v="2"/>
    <x v="1"/>
    <x v="1"/>
    <x v="0"/>
    <x v="0"/>
    <n v="12"/>
    <x v="10"/>
  </r>
  <r>
    <x v="288"/>
    <x v="273"/>
    <x v="1"/>
    <d v="2024-12-10T00:00:00"/>
    <x v="1"/>
    <n v="5"/>
    <x v="0"/>
    <x v="1"/>
    <x v="1"/>
    <x v="1"/>
    <x v="1"/>
    <n v="2"/>
    <x v="11"/>
  </r>
  <r>
    <x v="289"/>
    <x v="274"/>
    <x v="0"/>
    <d v="2024-12-11T00:00:00"/>
    <x v="0"/>
    <n v="15"/>
    <x v="1"/>
    <x v="0"/>
    <x v="0"/>
    <x v="0"/>
    <x v="0"/>
    <n v="5"/>
    <x v="0"/>
  </r>
  <r>
    <x v="290"/>
    <x v="275"/>
    <x v="2"/>
    <d v="2024-12-12T00:00:00"/>
    <x v="1"/>
    <n v="10"/>
    <x v="0"/>
    <x v="1"/>
    <x v="1"/>
    <x v="0"/>
    <x v="0"/>
    <n v="10"/>
    <x v="2"/>
  </r>
  <r>
    <x v="291"/>
    <x v="276"/>
    <x v="1"/>
    <d v="2024-12-13T00:00:00"/>
    <x v="0"/>
    <n v="5"/>
    <x v="2"/>
    <x v="1"/>
    <x v="1"/>
    <x v="1"/>
    <x v="1"/>
    <n v="0"/>
    <x v="1"/>
  </r>
  <r>
    <x v="292"/>
    <x v="277"/>
    <x v="0"/>
    <d v="2024-12-14T00:00:00"/>
    <x v="1"/>
    <n v="15"/>
    <x v="0"/>
    <x v="0"/>
    <x v="0"/>
    <x v="0"/>
    <x v="0"/>
    <n v="3"/>
    <x v="3"/>
  </r>
  <r>
    <x v="293"/>
    <x v="278"/>
    <x v="2"/>
    <d v="2024-12-15T00:00:00"/>
    <x v="0"/>
    <n v="10"/>
    <x v="1"/>
    <x v="1"/>
    <x v="1"/>
    <x v="0"/>
    <x v="0"/>
    <n v="15"/>
    <x v="7"/>
  </r>
  <r>
    <x v="294"/>
    <x v="279"/>
    <x v="1"/>
    <d v="2024-12-16T00:00:00"/>
    <x v="1"/>
    <n v="5"/>
    <x v="0"/>
    <x v="1"/>
    <x v="1"/>
    <x v="1"/>
    <x v="1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E7A76-0B61-4BCF-81B8-34A01F9AD2F3}" name="Tabela dinâmica4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38:C42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x="1"/>
        <item sd="0"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1F556-C070-4671-970D-11AC6F0871B9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1">
  <location ref="B25:C2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dataFiel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Contagem de Subscription Type" fld="6" subtotal="count" baseField="0" baseItem="0"/>
  </dataFields>
  <chartFormats count="3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0">
  <location ref="B11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chartFormats count="4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08ADB92-B233-4578-8E10-147B66E1998E}" sourceName="Subscription Type">
  <pivotTables>
    <pivotTable tabId="3" name="Tabela dinâmica9"/>
    <pivotTable tabId="3" name="Tabela dinâmica3"/>
    <pivotTable tabId="3" name="Tabela dinâmica4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93A522D-F92B-4043-8592-BC5A0B8A6FD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241" zoomScale="90" zoomScaleNormal="90" workbookViewId="0">
      <selection activeCell="K2" sqref="K2:K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3.125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42"/>
  <sheetViews>
    <sheetView showGridLines="0" workbookViewId="0">
      <selection activeCell="C42" sqref="C42"/>
    </sheetView>
  </sheetViews>
  <sheetFormatPr defaultRowHeight="14.25"/>
  <cols>
    <col min="2" max="2" width="18" bestFit="1" customWidth="1"/>
    <col min="3" max="3" width="35.125" bestFit="1" customWidth="1"/>
    <col min="4" max="4" width="32.1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15" t="s">
        <v>316</v>
      </c>
      <c r="C3" s="15"/>
      <c r="D3" s="15"/>
      <c r="E3" s="15"/>
      <c r="F3" s="15"/>
    </row>
    <row r="6" spans="2:6" ht="15">
      <c r="B6" s="17" t="s">
        <v>320</v>
      </c>
    </row>
    <row r="9" spans="2:6">
      <c r="B9" s="12" t="s">
        <v>16</v>
      </c>
      <c r="C9" t="s">
        <v>24</v>
      </c>
    </row>
    <row r="11" spans="2:6">
      <c r="B11" s="12" t="s">
        <v>309</v>
      </c>
      <c r="C11" t="s">
        <v>317</v>
      </c>
    </row>
    <row r="12" spans="2:6">
      <c r="B12" s="13" t="s">
        <v>22</v>
      </c>
      <c r="C12" s="14">
        <v>120</v>
      </c>
    </row>
    <row r="13" spans="2:6">
      <c r="B13" s="13" t="s">
        <v>26</v>
      </c>
      <c r="C13" s="14">
        <v>448</v>
      </c>
    </row>
    <row r="14" spans="2:6">
      <c r="B14" s="13" t="s">
        <v>18</v>
      </c>
      <c r="C14" s="14">
        <v>1186</v>
      </c>
    </row>
    <row r="15" spans="2:6">
      <c r="B15" s="13" t="s">
        <v>310</v>
      </c>
      <c r="C15" s="14">
        <v>1754</v>
      </c>
    </row>
    <row r="19" spans="2:4" ht="15">
      <c r="B19" s="17" t="s">
        <v>321</v>
      </c>
    </row>
    <row r="23" spans="2:4">
      <c r="B23" s="12" t="s">
        <v>16</v>
      </c>
      <c r="C23" t="s">
        <v>24</v>
      </c>
    </row>
    <row r="24" spans="2:4" ht="12.75" customHeight="1"/>
    <row r="25" spans="2:4">
      <c r="B25" s="12" t="s">
        <v>309</v>
      </c>
      <c r="C25" t="s">
        <v>319</v>
      </c>
    </row>
    <row r="26" spans="2:4">
      <c r="B26" s="13" t="s">
        <v>23</v>
      </c>
      <c r="C26" s="14">
        <v>11</v>
      </c>
      <c r="D26" s="16">
        <f>GETPIVOTDATA("Subscription Type",$B$25,"Auto Renewal","No")/GETPIVOTDATA("Subscription Type",$B$25)</f>
        <v>0.15492957746478872</v>
      </c>
    </row>
    <row r="27" spans="2:4">
      <c r="B27" s="13" t="s">
        <v>19</v>
      </c>
      <c r="C27" s="14">
        <v>60</v>
      </c>
      <c r="D27" s="16">
        <f>GETPIVOTDATA("Subscription Type",$B$25,"Auto Renewal","Yes")/GETPIVOTDATA("Subscription Type",$B$25)</f>
        <v>0.84507042253521125</v>
      </c>
    </row>
    <row r="28" spans="2:4">
      <c r="B28" s="13" t="s">
        <v>310</v>
      </c>
      <c r="C28" s="14">
        <v>71</v>
      </c>
    </row>
    <row r="29" spans="2:4" ht="12.75" customHeight="1"/>
    <row r="32" spans="2:4" ht="15">
      <c r="B32" s="17" t="s">
        <v>322</v>
      </c>
    </row>
    <row r="38" spans="2:4">
      <c r="B38" s="12" t="s">
        <v>309</v>
      </c>
      <c r="C38" t="s">
        <v>311</v>
      </c>
    </row>
    <row r="39" spans="2:4">
      <c r="B39" s="13" t="s">
        <v>22</v>
      </c>
      <c r="C39" s="14">
        <v>0</v>
      </c>
    </row>
    <row r="40" spans="2:4">
      <c r="B40" s="13" t="s">
        <v>26</v>
      </c>
      <c r="C40" s="14">
        <v>540</v>
      </c>
    </row>
    <row r="41" spans="2:4">
      <c r="B41" s="13" t="s">
        <v>18</v>
      </c>
      <c r="C41" s="14">
        <v>400</v>
      </c>
    </row>
    <row r="42" spans="2:4">
      <c r="B42" s="13" t="s">
        <v>310</v>
      </c>
      <c r="C42" s="14">
        <v>940</v>
      </c>
      <c r="D42" s="25">
        <f>GETPIVOTDATA("Minecraft Season Pass Price",$B$38)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139"/>
  <sheetViews>
    <sheetView showGridLines="0" showRowColHeaders="0" tabSelected="1" zoomScale="130" zoomScaleNormal="130" workbookViewId="0">
      <selection activeCell="T21" sqref="T21"/>
    </sheetView>
  </sheetViews>
  <sheetFormatPr defaultRowHeight="14.25"/>
  <cols>
    <col min="1" max="1" width="16.5" style="21" customWidth="1"/>
    <col min="2" max="2" width="2.25" style="21" customWidth="1"/>
    <col min="3" max="3" width="3.625" customWidth="1"/>
    <col min="13" max="13" width="6.625" customWidth="1"/>
  </cols>
  <sheetData>
    <row r="1" spans="1:20" s="4" customFormat="1"/>
    <row r="2" spans="1:20" s="4" customFormat="1" ht="27.75" customHeight="1" thickBot="1"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20"/>
      <c r="T2" s="20"/>
    </row>
    <row r="3" spans="1:20" s="4" customFormat="1" ht="19.5" customHeight="1" thickTop="1"/>
    <row r="4" spans="1:20" s="4" customFormat="1" ht="27.75" customHeight="1" thickBot="1"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20"/>
      <c r="T4" s="20"/>
    </row>
    <row r="5" spans="1:20" s="4" customFormat="1" ht="19.5" customHeight="1" thickTop="1"/>
    <row r="6" spans="1:20" s="4" customFormat="1" ht="19.5" customHeight="1"/>
    <row r="7" spans="1:20" s="7" customFormat="1" ht="8.25" customHeight="1">
      <c r="A7" s="24" t="s">
        <v>318</v>
      </c>
      <c r="B7" s="21"/>
    </row>
    <row r="8" spans="1:20" s="7" customFormat="1" ht="7.5" customHeight="1">
      <c r="A8" s="24"/>
      <c r="B8" s="21"/>
    </row>
    <row r="9" spans="1:20" s="7" customFormat="1" ht="10.5" customHeight="1">
      <c r="A9" s="24"/>
      <c r="B9" s="21"/>
    </row>
    <row r="10" spans="1:20" s="7" customFormat="1" ht="9.75" customHeight="1">
      <c r="A10" s="24"/>
      <c r="B10" s="21"/>
    </row>
    <row r="11" spans="1:20" s="7" customFormat="1" ht="11.25" customHeight="1">
      <c r="A11" s="24"/>
      <c r="B11" s="21"/>
    </row>
    <row r="12" spans="1:20" s="7" customFormat="1">
      <c r="A12" s="24"/>
      <c r="B12" s="21"/>
    </row>
    <row r="13" spans="1:20" s="7" customFormat="1">
      <c r="A13" s="24"/>
      <c r="B13" s="21"/>
    </row>
    <row r="14" spans="1:20" s="7" customFormat="1" ht="14.25" customHeight="1">
      <c r="A14" s="24"/>
      <c r="B14" s="21"/>
    </row>
    <row r="15" spans="1:20" s="7" customFormat="1">
      <c r="A15" s="24"/>
      <c r="B15" s="21"/>
    </row>
    <row r="16" spans="1:20" s="7" customFormat="1">
      <c r="A16" s="24"/>
      <c r="B16" s="21"/>
    </row>
    <row r="17" spans="1:2" s="7" customFormat="1">
      <c r="A17" s="24"/>
      <c r="B17" s="21"/>
    </row>
    <row r="18" spans="1:2" s="7" customFormat="1">
      <c r="A18" s="24"/>
      <c r="B18" s="21"/>
    </row>
    <row r="19" spans="1:2" s="7" customFormat="1">
      <c r="A19" s="24"/>
      <c r="B19" s="21"/>
    </row>
    <row r="20" spans="1:2" s="7" customFormat="1" ht="15" customHeight="1">
      <c r="A20" s="24"/>
      <c r="B20" s="22"/>
    </row>
    <row r="21" spans="1:2" s="7" customFormat="1">
      <c r="A21" s="24"/>
      <c r="B21" s="23"/>
    </row>
    <row r="22" spans="1:2" s="7" customFormat="1">
      <c r="A22" s="24"/>
      <c r="B22" s="21"/>
    </row>
    <row r="23" spans="1:2" s="7" customFormat="1">
      <c r="A23" s="24"/>
      <c r="B23" s="21"/>
    </row>
    <row r="24" spans="1:2" s="7" customFormat="1">
      <c r="A24" s="24"/>
      <c r="B24" s="21"/>
    </row>
    <row r="25" spans="1:2" s="7" customFormat="1">
      <c r="A25" s="24"/>
      <c r="B25" s="21"/>
    </row>
    <row r="26" spans="1:2" s="7" customFormat="1">
      <c r="A26" s="24"/>
      <c r="B26" s="21"/>
    </row>
    <row r="27" spans="1:2" s="7" customFormat="1">
      <c r="A27" s="24"/>
      <c r="B27" s="21"/>
    </row>
    <row r="28" spans="1:2" s="7" customFormat="1">
      <c r="A28" s="24"/>
      <c r="B28" s="21"/>
    </row>
    <row r="29" spans="1:2" s="7" customFormat="1">
      <c r="A29" s="24"/>
      <c r="B29" s="21"/>
    </row>
    <row r="30" spans="1:2" s="7" customFormat="1">
      <c r="A30" s="24"/>
      <c r="B30" s="21"/>
    </row>
    <row r="31" spans="1:2" s="7" customFormat="1">
      <c r="A31" s="24"/>
      <c r="B31" s="21"/>
    </row>
    <row r="32" spans="1:2" s="7" customFormat="1">
      <c r="A32" s="24"/>
      <c r="B32" s="21"/>
    </row>
    <row r="33" spans="1:2" s="7" customFormat="1">
      <c r="A33" s="24"/>
      <c r="B33" s="21"/>
    </row>
    <row r="34" spans="1:2" s="7" customFormat="1">
      <c r="A34" s="24"/>
      <c r="B34" s="21"/>
    </row>
    <row r="35" spans="1:2" s="7" customFormat="1">
      <c r="A35" s="24"/>
      <c r="B35" s="21"/>
    </row>
    <row r="36" spans="1:2" s="7" customFormat="1">
      <c r="A36" s="24"/>
      <c r="B36" s="21"/>
    </row>
    <row r="37" spans="1:2" s="7" customFormat="1">
      <c r="A37" s="24"/>
      <c r="B37" s="21"/>
    </row>
    <row r="38" spans="1:2" s="7" customFormat="1">
      <c r="A38" s="24"/>
      <c r="B38" s="21"/>
    </row>
    <row r="39" spans="1:2" s="7" customFormat="1">
      <c r="A39" s="24"/>
      <c r="B39" s="21"/>
    </row>
    <row r="40" spans="1:2" s="7" customFormat="1">
      <c r="A40" s="24"/>
      <c r="B40" s="21"/>
    </row>
    <row r="41" spans="1:2" s="7" customFormat="1">
      <c r="A41" s="24"/>
      <c r="B41" s="21"/>
    </row>
    <row r="42" spans="1:2" s="7" customFormat="1">
      <c r="A42" s="24"/>
      <c r="B42" s="21"/>
    </row>
    <row r="43" spans="1:2" s="7" customFormat="1">
      <c r="A43" s="24"/>
      <c r="B43" s="21"/>
    </row>
    <row r="44" spans="1:2" s="7" customFormat="1">
      <c r="A44" s="24"/>
      <c r="B44" s="21"/>
    </row>
    <row r="45" spans="1:2" s="7" customFormat="1">
      <c r="A45" s="24"/>
      <c r="B45" s="21"/>
    </row>
    <row r="46" spans="1:2" s="7" customFormat="1">
      <c r="A46" s="24"/>
      <c r="B46" s="21"/>
    </row>
    <row r="47" spans="1:2" s="7" customFormat="1">
      <c r="A47" s="24"/>
      <c r="B47" s="21"/>
    </row>
    <row r="48" spans="1:2" s="7" customFormat="1">
      <c r="A48" s="24"/>
      <c r="B48" s="21"/>
    </row>
    <row r="49" spans="1:2" s="7" customFormat="1">
      <c r="A49" s="24"/>
      <c r="B49" s="21"/>
    </row>
    <row r="50" spans="1:2" s="7" customFormat="1">
      <c r="A50" s="21"/>
      <c r="B50" s="21"/>
    </row>
    <row r="51" spans="1:2" s="7" customFormat="1">
      <c r="A51" s="21"/>
      <c r="B51" s="21"/>
    </row>
    <row r="52" spans="1:2" s="7" customFormat="1">
      <c r="A52" s="21"/>
      <c r="B52" s="21"/>
    </row>
    <row r="53" spans="1:2" s="7" customFormat="1">
      <c r="A53" s="21"/>
      <c r="B53" s="21"/>
    </row>
    <row r="54" spans="1:2" s="7" customFormat="1">
      <c r="A54" s="21"/>
      <c r="B54" s="21"/>
    </row>
    <row r="55" spans="1:2" s="7" customFormat="1">
      <c r="A55" s="21"/>
      <c r="B55" s="21"/>
    </row>
    <row r="56" spans="1:2" s="7" customFormat="1">
      <c r="A56" s="21"/>
      <c r="B56" s="21"/>
    </row>
    <row r="57" spans="1:2" s="7" customFormat="1">
      <c r="A57" s="21"/>
      <c r="B57" s="21"/>
    </row>
    <row r="58" spans="1:2" s="7" customFormat="1">
      <c r="A58" s="21"/>
      <c r="B58" s="21"/>
    </row>
    <row r="59" spans="1:2" s="7" customFormat="1">
      <c r="A59" s="21"/>
      <c r="B59" s="21"/>
    </row>
    <row r="60" spans="1:2" s="7" customFormat="1">
      <c r="A60" s="21"/>
      <c r="B60" s="21"/>
    </row>
    <row r="61" spans="1:2" s="7" customFormat="1">
      <c r="A61" s="21"/>
      <c r="B61" s="21"/>
    </row>
    <row r="62" spans="1:2" s="7" customFormat="1">
      <c r="A62" s="21"/>
      <c r="B62" s="21"/>
    </row>
    <row r="63" spans="1:2" s="7" customFormat="1">
      <c r="A63" s="21"/>
      <c r="B63" s="21"/>
    </row>
    <row r="64" spans="1:2" s="7" customFormat="1">
      <c r="A64" s="21"/>
      <c r="B64" s="21"/>
    </row>
    <row r="65" spans="1:2" s="7" customFormat="1">
      <c r="A65" s="21"/>
      <c r="B65" s="21"/>
    </row>
    <row r="66" spans="1:2" s="7" customFormat="1">
      <c r="A66" s="21"/>
      <c r="B66" s="21"/>
    </row>
    <row r="67" spans="1:2" s="7" customFormat="1">
      <c r="A67" s="21"/>
      <c r="B67" s="21"/>
    </row>
    <row r="68" spans="1:2" s="7" customFormat="1">
      <c r="A68" s="21"/>
      <c r="B68" s="21"/>
    </row>
    <row r="69" spans="1:2" s="7" customFormat="1">
      <c r="A69" s="21"/>
      <c r="B69" s="21"/>
    </row>
    <row r="70" spans="1:2" s="7" customFormat="1">
      <c r="A70" s="21"/>
      <c r="B70" s="21"/>
    </row>
    <row r="71" spans="1:2" s="7" customFormat="1">
      <c r="A71" s="21"/>
      <c r="B71" s="21"/>
    </row>
    <row r="72" spans="1:2" s="7" customFormat="1">
      <c r="A72" s="21"/>
      <c r="B72" s="21"/>
    </row>
    <row r="73" spans="1:2" s="7" customFormat="1">
      <c r="A73" s="21"/>
      <c r="B73" s="21"/>
    </row>
    <row r="74" spans="1:2" s="7" customFormat="1">
      <c r="A74" s="21"/>
      <c r="B74" s="21"/>
    </row>
    <row r="75" spans="1:2" s="7" customFormat="1">
      <c r="A75" s="21"/>
      <c r="B75" s="21"/>
    </row>
    <row r="76" spans="1:2" s="7" customFormat="1">
      <c r="A76" s="21"/>
      <c r="B76" s="21"/>
    </row>
    <row r="77" spans="1:2" s="7" customFormat="1">
      <c r="A77" s="21"/>
      <c r="B77" s="21"/>
    </row>
    <row r="78" spans="1:2" s="7" customFormat="1">
      <c r="A78" s="21"/>
      <c r="B78" s="21"/>
    </row>
    <row r="79" spans="1:2" s="7" customFormat="1">
      <c r="A79" s="21"/>
      <c r="B79" s="21"/>
    </row>
    <row r="80" spans="1:2" s="7" customFormat="1">
      <c r="A80" s="21"/>
      <c r="B80" s="21"/>
    </row>
    <row r="81" spans="1:2" s="7" customFormat="1">
      <c r="A81" s="21"/>
      <c r="B81" s="21"/>
    </row>
    <row r="82" spans="1:2" s="7" customFormat="1">
      <c r="A82" s="21"/>
      <c r="B82" s="21"/>
    </row>
    <row r="83" spans="1:2" s="7" customFormat="1">
      <c r="A83" s="21"/>
      <c r="B83" s="21"/>
    </row>
    <row r="84" spans="1:2" s="7" customFormat="1">
      <c r="A84" s="21"/>
      <c r="B84" s="21"/>
    </row>
    <row r="85" spans="1:2" s="7" customFormat="1">
      <c r="A85" s="21"/>
      <c r="B85" s="21"/>
    </row>
    <row r="86" spans="1:2" s="7" customFormat="1">
      <c r="A86" s="21"/>
      <c r="B86" s="21"/>
    </row>
    <row r="87" spans="1:2" s="7" customFormat="1">
      <c r="A87" s="21"/>
      <c r="B87" s="21"/>
    </row>
    <row r="88" spans="1:2" s="7" customFormat="1">
      <c r="A88" s="21"/>
      <c r="B88" s="21"/>
    </row>
    <row r="89" spans="1:2" s="7" customFormat="1">
      <c r="A89" s="21"/>
      <c r="B89" s="21"/>
    </row>
    <row r="90" spans="1:2" s="7" customFormat="1">
      <c r="A90" s="21"/>
      <c r="B90" s="21"/>
    </row>
    <row r="91" spans="1:2" s="7" customFormat="1">
      <c r="A91" s="21"/>
      <c r="B91" s="21"/>
    </row>
    <row r="92" spans="1:2" s="7" customFormat="1">
      <c r="A92" s="21"/>
      <c r="B92" s="21"/>
    </row>
    <row r="93" spans="1:2" s="7" customFormat="1">
      <c r="A93" s="21"/>
      <c r="B93" s="21"/>
    </row>
    <row r="94" spans="1:2" s="7" customFormat="1">
      <c r="A94" s="21"/>
      <c r="B94" s="21"/>
    </row>
    <row r="95" spans="1:2" s="7" customFormat="1">
      <c r="A95" s="21"/>
      <c r="B95" s="21"/>
    </row>
    <row r="96" spans="1:2" s="7" customFormat="1">
      <c r="A96" s="21"/>
      <c r="B96" s="21"/>
    </row>
    <row r="97" spans="1:2" s="7" customFormat="1">
      <c r="A97" s="21"/>
      <c r="B97" s="21"/>
    </row>
    <row r="98" spans="1:2" s="7" customFormat="1">
      <c r="A98" s="21"/>
      <c r="B98" s="21"/>
    </row>
    <row r="99" spans="1:2" s="7" customFormat="1">
      <c r="A99" s="21"/>
      <c r="B99" s="21"/>
    </row>
    <row r="100" spans="1:2" s="7" customFormat="1">
      <c r="A100" s="21"/>
      <c r="B100" s="21"/>
    </row>
    <row r="101" spans="1:2" s="7" customFormat="1">
      <c r="A101" s="21"/>
      <c r="B101" s="21"/>
    </row>
    <row r="102" spans="1:2" s="7" customFormat="1">
      <c r="A102" s="21"/>
      <c r="B102" s="21"/>
    </row>
    <row r="103" spans="1:2" s="7" customFormat="1">
      <c r="A103" s="21"/>
      <c r="B103" s="21"/>
    </row>
    <row r="104" spans="1:2" s="7" customFormat="1">
      <c r="A104" s="21"/>
      <c r="B104" s="21"/>
    </row>
    <row r="105" spans="1:2" s="7" customFormat="1">
      <c r="A105" s="21"/>
      <c r="B105" s="21"/>
    </row>
    <row r="106" spans="1:2" s="7" customFormat="1">
      <c r="A106" s="21"/>
      <c r="B106" s="21"/>
    </row>
    <row r="107" spans="1:2" s="7" customFormat="1">
      <c r="A107" s="21"/>
      <c r="B107" s="21"/>
    </row>
    <row r="108" spans="1:2" s="7" customFormat="1">
      <c r="A108" s="21"/>
      <c r="B108" s="21"/>
    </row>
    <row r="109" spans="1:2" s="7" customFormat="1">
      <c r="A109" s="21"/>
      <c r="B109" s="21"/>
    </row>
    <row r="110" spans="1:2" s="7" customFormat="1">
      <c r="A110" s="21"/>
      <c r="B110" s="21"/>
    </row>
    <row r="111" spans="1:2" s="7" customFormat="1">
      <c r="A111" s="21"/>
      <c r="B111" s="21"/>
    </row>
    <row r="112" spans="1:2" s="7" customFormat="1">
      <c r="A112" s="21"/>
      <c r="B112" s="21"/>
    </row>
    <row r="113" spans="1:2" s="7" customFormat="1">
      <c r="A113" s="21"/>
      <c r="B113" s="21"/>
    </row>
    <row r="114" spans="1:2" s="7" customFormat="1">
      <c r="A114" s="21"/>
      <c r="B114" s="21"/>
    </row>
    <row r="115" spans="1:2" s="7" customFormat="1">
      <c r="A115" s="21"/>
      <c r="B115" s="21"/>
    </row>
    <row r="116" spans="1:2" s="7" customFormat="1">
      <c r="A116" s="21"/>
      <c r="B116" s="21"/>
    </row>
    <row r="117" spans="1:2" s="7" customFormat="1">
      <c r="A117" s="21"/>
      <c r="B117" s="21"/>
    </row>
    <row r="118" spans="1:2" s="7" customFormat="1">
      <c r="A118" s="21"/>
      <c r="B118" s="21"/>
    </row>
    <row r="119" spans="1:2" s="7" customFormat="1">
      <c r="A119" s="21"/>
      <c r="B119" s="21"/>
    </row>
    <row r="120" spans="1:2" s="7" customFormat="1">
      <c r="A120" s="21"/>
      <c r="B120" s="21"/>
    </row>
    <row r="121" spans="1:2" s="7" customFormat="1">
      <c r="A121" s="21"/>
      <c r="B121" s="21"/>
    </row>
    <row r="122" spans="1:2" s="7" customFormat="1">
      <c r="A122" s="21"/>
      <c r="B122" s="21"/>
    </row>
    <row r="123" spans="1:2" s="7" customFormat="1">
      <c r="A123" s="21"/>
      <c r="B123" s="21"/>
    </row>
    <row r="124" spans="1:2" s="7" customFormat="1">
      <c r="A124" s="21"/>
      <c r="B124" s="21"/>
    </row>
    <row r="125" spans="1:2" s="7" customFormat="1">
      <c r="A125" s="21"/>
      <c r="B125" s="21"/>
    </row>
    <row r="126" spans="1:2" s="7" customFormat="1">
      <c r="A126" s="21"/>
      <c r="B126" s="21"/>
    </row>
    <row r="127" spans="1:2" s="7" customFormat="1">
      <c r="A127" s="21"/>
      <c r="B127" s="21"/>
    </row>
    <row r="128" spans="1:2" s="7" customFormat="1">
      <c r="A128" s="21"/>
      <c r="B128" s="21"/>
    </row>
    <row r="129" spans="1:2" s="7" customFormat="1">
      <c r="A129" s="21"/>
      <c r="B129" s="21"/>
    </row>
    <row r="130" spans="1:2" s="7" customFormat="1">
      <c r="A130" s="21"/>
      <c r="B130" s="21"/>
    </row>
    <row r="131" spans="1:2" s="7" customFormat="1">
      <c r="A131" s="21"/>
      <c r="B131" s="21"/>
    </row>
    <row r="132" spans="1:2" s="7" customFormat="1">
      <c r="A132" s="21"/>
      <c r="B132" s="21"/>
    </row>
    <row r="133" spans="1:2" s="7" customFormat="1">
      <c r="A133" s="21"/>
      <c r="B133" s="21"/>
    </row>
    <row r="134" spans="1:2" s="7" customFormat="1">
      <c r="A134" s="21"/>
      <c r="B134" s="21"/>
    </row>
    <row r="135" spans="1:2" s="7" customFormat="1">
      <c r="A135" s="21"/>
      <c r="B135" s="21"/>
    </row>
    <row r="136" spans="1:2" s="7" customFormat="1">
      <c r="A136" s="21"/>
      <c r="B136" s="21"/>
    </row>
    <row r="137" spans="1:2" s="7" customFormat="1">
      <c r="A137" s="21"/>
      <c r="B137" s="21"/>
    </row>
    <row r="138" spans="1:2" s="7" customFormat="1">
      <c r="A138" s="21"/>
      <c r="B138" s="21"/>
    </row>
    <row r="139" spans="1:2" s="7" customFormat="1">
      <c r="A139" s="21"/>
      <c r="B139" s="21"/>
    </row>
  </sheetData>
  <mergeCells count="1">
    <mergeCell ref="A7:A49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Fabio Barros</cp:lastModifiedBy>
  <dcterms:created xsi:type="dcterms:W3CDTF">2024-12-19T13:13:10Z</dcterms:created>
  <dcterms:modified xsi:type="dcterms:W3CDTF">2025-10-18T05:59:29Z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